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3.xml" ContentType="application/vnd.openxmlformats-officedocument.drawing+xml"/>
  <Override PartName="/xl/ctrlProps/ctrlProp1.xml" ContentType="application/vnd.ms-excel.controlproperties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2.xml" ContentType="application/vnd.ms-excel.controlproperties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omments4.xml" ContentType="application/vnd.openxmlformats-officedocument.spreadsheetml.comments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trlProps/ctrlProp3.xml" ContentType="application/vnd.ms-excel.controlproperties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6.xml" ContentType="application/vnd.openxmlformats-officedocument.drawing+xml"/>
  <Override PartName="/xl/ctrlProps/ctrlProp4.xml" ContentType="application/vnd.ms-excel.controlproperties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6" Type="http://schemas.microsoft.com/office/2011/relationships/webextensiontaskpanes" Target="xl/webextensions/taskpanes.xml" /><Relationship Id="rId5" Type="http://schemas.microsoft.com/office/2006/relationships/ui/userCustomization" Target="userCustomization/customUI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d.docs.live.net/437e24a62362151d/文档/"/>
    </mc:Choice>
  </mc:AlternateContent>
  <xr:revisionPtr revIDLastSave="3105" documentId="8_{98124B0E-D4C4-49FB-B55C-E53B9308A092}" xr6:coauthVersionLast="47" xr6:coauthVersionMax="47" xr10:uidLastSave="{B00B31EE-21CB-45C9-8212-67CFD1CE0609}"/>
  <bookViews>
    <workbookView xWindow="-108" yWindow="-108" windowWidth="23256" windowHeight="12576" tabRatio="809" activeTab="1" xr2:uid="{00000000-000D-0000-FFFF-FFFF00000000}"/>
  </bookViews>
  <sheets>
    <sheet name="总资产摘要" sheetId="2" r:id="rId1"/>
    <sheet name="投资收益表" sheetId="32" r:id="rId2"/>
    <sheet name="1 月" sheetId="3" r:id="rId3"/>
    <sheet name="2 月" sheetId="4" r:id="rId4"/>
    <sheet name="3 月" sheetId="5" r:id="rId5"/>
    <sheet name="4 月" sheetId="6" r:id="rId6"/>
    <sheet name="5 月" sheetId="7" r:id="rId7"/>
    <sheet name="6 月" sheetId="8" r:id="rId8"/>
    <sheet name="7 月" sheetId="9" r:id="rId9"/>
    <sheet name="8 月" sheetId="10" r:id="rId10"/>
    <sheet name="9月" sheetId="19" r:id="rId11"/>
    <sheet name="10月" sheetId="22" r:id="rId12"/>
    <sheet name="11 月" sheetId="13" r:id="rId13"/>
    <sheet name="12 月" sheetId="14" r:id="rId14"/>
    <sheet name="提示" sheetId="16" r:id="rId15"/>
    <sheet name="Kutools_Chart" sheetId="26" state="hidden" r:id="rId16"/>
  </sheets>
  <externalReferences>
    <externalReference r:id="rId17"/>
  </externalReferences>
  <definedNames>
    <definedName name="ColumnTitle10" localSheetId="11">ExpOct[[#Headers],[日期]]</definedName>
    <definedName name="ColumnTitle10" localSheetId="10">ExpSep[[#Headers],[日期]]</definedName>
    <definedName name="ColumnTitle10" localSheetId="1">ExpAug[[#Headers],[日期]]</definedName>
    <definedName name="ColumnTitle10">ExpAug[[#Headers],[日期]]</definedName>
    <definedName name="ColumnTitle11">#REF!</definedName>
    <definedName name="ColumnTitle12" localSheetId="11">#REF!</definedName>
    <definedName name="ColumnTitle12" localSheetId="10">#REF!</definedName>
    <definedName name="ColumnTitle12">#REF!</definedName>
    <definedName name="ColumnTitle13" localSheetId="11">ExpNov[[#Headers],[日期]]</definedName>
    <definedName name="ColumnTitle13" localSheetId="10">ExpNov[[#Headers],[日期]]</definedName>
    <definedName name="ColumnTitle13" localSheetId="1">ExpNov[[#Headers],[日期]]</definedName>
    <definedName name="ColumnTitle13">ExpNov[[#Headers],[日期]]</definedName>
    <definedName name="ColumnTitle14" localSheetId="11">ExpDec[[#Headers],[日期]]</definedName>
    <definedName name="ColumnTitle14" localSheetId="10">ExpDec[[#Headers],[日期]]</definedName>
    <definedName name="ColumnTitle14" localSheetId="1">ExpDec[[#Headers],[日期]]</definedName>
    <definedName name="ColumnTitle14">ExpDec[[#Headers],[日期]]</definedName>
    <definedName name="ColumnTitle2" localSheetId="11">资产摘要[[#Headers],[资产归属]]</definedName>
    <definedName name="ColumnTitle2" localSheetId="10">资产摘要[[#Headers],[资产归属]]</definedName>
    <definedName name="ColumnTitle2" localSheetId="1">投资收益表[[#Headers],[投资分类]]</definedName>
    <definedName name="ColumnTitle2">资产摘要[[#Headers],[资产归属]]</definedName>
    <definedName name="ColumnTitle3" localSheetId="11">ExpJan[[#Headers],[日期]]</definedName>
    <definedName name="ColumnTitle3" localSheetId="10">ExpJan[[#Headers],[日期]]</definedName>
    <definedName name="ColumnTitle3" localSheetId="1">ExpJan[[#Headers],[日期]]</definedName>
    <definedName name="ColumnTitle3">ExpJan[[#Headers],[日期]]</definedName>
    <definedName name="ColumnTitle4" localSheetId="11">ExpFeb[[#Headers],[日期]]</definedName>
    <definedName name="ColumnTitle4" localSheetId="10">ExpFeb[[#Headers],[日期]]</definedName>
    <definedName name="ColumnTitle4" localSheetId="1">ExpFeb[[#Headers],[日期]]</definedName>
    <definedName name="ColumnTitle4">ExpFeb[[#Headers],[日期]]</definedName>
    <definedName name="ColumnTitle5" localSheetId="11">ExpMar[[#Headers],[日期]]</definedName>
    <definedName name="ColumnTitle5" localSheetId="10">ExpMar[[#Headers],[日期]]</definedName>
    <definedName name="ColumnTitle5" localSheetId="1">ExpMar[[#Headers],[日期]]</definedName>
    <definedName name="ColumnTitle5">ExpMar[[#Headers],[日期]]</definedName>
    <definedName name="ColumnTitle6" localSheetId="11">ExpApr[[#Headers],[日期]]</definedName>
    <definedName name="ColumnTitle6" localSheetId="10">ExpApr[[#Headers],[日期]]</definedName>
    <definedName name="ColumnTitle6" localSheetId="1">ExpApr[[#Headers],[日期]]</definedName>
    <definedName name="ColumnTitle6">ExpApr[[#Headers],[日期]]</definedName>
    <definedName name="ColumnTitle7" localSheetId="11">ExpMay[[#Headers],[日期]]</definedName>
    <definedName name="ColumnTitle7" localSheetId="10">ExpMay[[#Headers],[日期]]</definedName>
    <definedName name="ColumnTitle7" localSheetId="1">ExpMay[[#Headers],[日期]]</definedName>
    <definedName name="ColumnTitle7">ExpMay[[#Headers],[日期]]</definedName>
    <definedName name="ColumnTitle8" localSheetId="11">ExpJun[[#Headers],[日期]]</definedName>
    <definedName name="ColumnTitle8" localSheetId="10">ExpJun[[#Headers],[日期]]</definedName>
    <definedName name="ColumnTitle8" localSheetId="1">ExpJun[[#Headers],[日期]]</definedName>
    <definedName name="ColumnTitle8">ExpJun[[#Headers],[日期]]</definedName>
    <definedName name="ColumnTitle9" localSheetId="11">ExpJul[[#Headers],[日期]]</definedName>
    <definedName name="ColumnTitle9" localSheetId="10">ExpJul[[#Headers],[日期]]</definedName>
    <definedName name="ColumnTitle9" localSheetId="1">ExpJul[[#Headers],[日期]]</definedName>
    <definedName name="ColumnTitle9">ExpJul[[#Headers],[日期]]</definedName>
    <definedName name="ExpenseCategories" localSheetId="11">资产摘要[资产归属]</definedName>
    <definedName name="ExpenseCategories" localSheetId="10">资产摘要[资产归属]</definedName>
    <definedName name="ExpenseCategories" localSheetId="1">投资收益表[投资分类]</definedName>
    <definedName name="ExpenseCategories">资产摘要[资产归属]</definedName>
    <definedName name="_xlnm.Print_Titles" localSheetId="2">'1 月'!$2:$2</definedName>
    <definedName name="_xlnm.Print_Titles" localSheetId="11">'10月'!$2:$2</definedName>
    <definedName name="_xlnm.Print_Titles" localSheetId="12">'11 月'!$2:$2</definedName>
    <definedName name="_xlnm.Print_Titles" localSheetId="13">'12 月'!$2:$2</definedName>
    <definedName name="_xlnm.Print_Titles" localSheetId="3">'2 月'!$2:$2</definedName>
    <definedName name="_xlnm.Print_Titles" localSheetId="4">'3 月'!$2:$2</definedName>
    <definedName name="_xlnm.Print_Titles" localSheetId="5">'4 月'!$2:$2</definedName>
    <definedName name="_xlnm.Print_Titles" localSheetId="6">'5 月'!$2:$2</definedName>
    <definedName name="_xlnm.Print_Titles" localSheetId="7">'6 月'!$2:$2</definedName>
    <definedName name="_xlnm.Print_Titles" localSheetId="8">'7 月'!$2:$2</definedName>
    <definedName name="_xlnm.Print_Titles" localSheetId="9">'8 月'!$2:$2</definedName>
    <definedName name="_xlnm.Print_Titles" localSheetId="10">'9月'!$2:$2</definedName>
    <definedName name="_xlnm.Print_Titles" localSheetId="1">投资收益表!$4:$4</definedName>
    <definedName name="_xlnm.Print_Titles" localSheetId="0">总资产摘要!$4:$4</definedName>
    <definedName name="类别">#REF!</definedName>
    <definedName name="美股投资组合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6" i="2"/>
  <c r="B7" i="2"/>
  <c r="E6" i="3" a="1"/>
  <c r="E6" i="3"/>
  <c r="B8" i="2"/>
  <c r="B9" i="2"/>
  <c r="B10" i="2"/>
  <c r="B11" i="2"/>
  <c r="B12" i="2"/>
  <c r="E7" i="3"/>
  <c r="B13" i="2"/>
  <c r="B14" i="2"/>
  <c r="C5" i="2"/>
  <c r="C6" i="2"/>
  <c r="C7" i="2"/>
  <c r="E6" i="4" a="1"/>
  <c r="E6" i="4"/>
  <c r="C8" i="2"/>
  <c r="C9" i="2"/>
  <c r="C10" i="2"/>
  <c r="C11" i="2"/>
  <c r="C12" i="2"/>
  <c r="E7" i="4"/>
  <c r="C13" i="2"/>
  <c r="C14" i="2"/>
  <c r="D5" i="2"/>
  <c r="D6" i="2"/>
  <c r="D7" i="2"/>
  <c r="E6" i="5" a="1"/>
  <c r="E6" i="5"/>
  <c r="D8" i="2"/>
  <c r="D9" i="2"/>
  <c r="D10" i="2"/>
  <c r="D11" i="2"/>
  <c r="D12" i="2"/>
  <c r="D13" i="2"/>
  <c r="D14" i="2"/>
  <c r="E5" i="2"/>
  <c r="E6" i="2"/>
  <c r="E7" i="2"/>
  <c r="E6" i="6" a="1"/>
  <c r="E6" i="6"/>
  <c r="E8" i="2"/>
  <c r="E9" i="2"/>
  <c r="E10" i="2"/>
  <c r="E11" i="2"/>
  <c r="E12" i="2"/>
  <c r="E13" i="2"/>
  <c r="E14" i="2"/>
  <c r="F5" i="2"/>
  <c r="F6" i="2"/>
  <c r="F7" i="2"/>
  <c r="E6" i="7" a="1"/>
  <c r="E6" i="7"/>
  <c r="F8" i="2"/>
  <c r="F9" i="2"/>
  <c r="F10" i="2"/>
  <c r="F11" i="2"/>
  <c r="F12" i="2"/>
  <c r="F13" i="2"/>
  <c r="F14" i="2"/>
  <c r="G5" i="2"/>
  <c r="G6" i="2"/>
  <c r="G7" i="2"/>
  <c r="E6" i="8" a="1"/>
  <c r="E6" i="8"/>
  <c r="G8" i="2"/>
  <c r="G9" i="2"/>
  <c r="G10" i="2"/>
  <c r="G11" i="2"/>
  <c r="G12" i="2"/>
  <c r="E7" i="8"/>
  <c r="G13" i="2"/>
  <c r="G14" i="2"/>
  <c r="H5" i="2"/>
  <c r="H6" i="2"/>
  <c r="H7" i="2"/>
  <c r="E6" i="9" a="1"/>
  <c r="E6" i="9"/>
  <c r="H8" i="2"/>
  <c r="H9" i="2"/>
  <c r="H10" i="2"/>
  <c r="H11" i="2"/>
  <c r="H12" i="2"/>
  <c r="E7" i="9"/>
  <c r="H13" i="2"/>
  <c r="H14" i="2"/>
  <c r="I5" i="2"/>
  <c r="I6" i="2"/>
  <c r="I7" i="2"/>
  <c r="E6" i="10" a="1"/>
  <c r="E6" i="10"/>
  <c r="I8" i="2"/>
  <c r="I9" i="2"/>
  <c r="I10" i="2"/>
  <c r="I11" i="2"/>
  <c r="I12" i="2"/>
  <c r="E7" i="10"/>
  <c r="I13" i="2"/>
  <c r="I14" i="2"/>
  <c r="J5" i="2"/>
  <c r="J6" i="2"/>
  <c r="J7" i="2"/>
  <c r="E10" i="19" a="1"/>
  <c r="E10" i="19"/>
  <c r="J8" i="2"/>
  <c r="J9" i="2"/>
  <c r="J10" i="2"/>
  <c r="J11" i="2"/>
  <c r="J12" i="2"/>
  <c r="E11" i="19"/>
  <c r="J13" i="2"/>
  <c r="J14" i="2"/>
  <c r="K5" i="2"/>
  <c r="K6" i="2"/>
  <c r="K7" i="2"/>
  <c r="E6" i="22" a="1"/>
  <c r="E6" i="22"/>
  <c r="K8" i="2"/>
  <c r="K9" i="2"/>
  <c r="K10" i="2"/>
  <c r="K11" i="2"/>
  <c r="K12" i="2"/>
  <c r="E7" i="22"/>
  <c r="K13" i="2"/>
  <c r="K14" i="2"/>
  <c r="L5" i="2"/>
  <c r="L6" i="2"/>
  <c r="L7" i="2"/>
  <c r="E6" i="13" a="1"/>
  <c r="E6" i="13"/>
  <c r="L8" i="2"/>
  <c r="L9" i="2"/>
  <c r="L10" i="2"/>
  <c r="L11" i="2"/>
  <c r="L12" i="2"/>
  <c r="E7" i="13"/>
  <c r="L13" i="2"/>
  <c r="L14" i="2"/>
  <c r="M5" i="2"/>
  <c r="M6" i="2"/>
  <c r="M7" i="2"/>
  <c r="E6" i="14" a="1"/>
  <c r="E6" i="14"/>
  <c r="M8" i="2"/>
  <c r="M9" i="2"/>
  <c r="M10" i="2"/>
  <c r="M11" i="2"/>
  <c r="M12" i="2"/>
  <c r="E7" i="14"/>
  <c r="M13" i="2"/>
  <c r="M14" i="2"/>
  <c r="A14" i="2" a="1"/>
  <c r="A14" i="2"/>
  <c r="E10" i="7"/>
  <c r="B9" i="32"/>
  <c r="N9" i="32"/>
  <c r="C9" i="32"/>
  <c r="D9" i="32"/>
  <c r="E9" i="32"/>
  <c r="F9" i="32"/>
  <c r="O9" i="32" a="1"/>
  <c r="O9" i="32"/>
  <c r="G9" i="32"/>
  <c r="H9" i="32"/>
  <c r="I9" i="32"/>
  <c r="J9" i="32"/>
  <c r="K9" i="32"/>
  <c r="L9" i="32"/>
  <c r="B10" i="32"/>
  <c r="J10" i="32"/>
  <c r="K10" i="32"/>
  <c r="B11" i="32"/>
  <c r="C11" i="32"/>
  <c r="D11" i="32"/>
  <c r="E11" i="32"/>
  <c r="F11" i="32"/>
  <c r="O11" i="32" a="1"/>
  <c r="O11" i="32"/>
  <c r="G11" i="32"/>
  <c r="H11" i="32"/>
  <c r="I11" i="32"/>
  <c r="J11" i="32"/>
  <c r="K11" i="32"/>
  <c r="L11" i="32"/>
  <c r="M11" i="32"/>
  <c r="U18" i="2"/>
  <c r="U19" i="2"/>
  <c r="U20" i="2"/>
  <c r="U21" i="2"/>
  <c r="U22" i="2"/>
  <c r="E2" i="32"/>
  <c r="D2" i="32"/>
  <c r="E10" i="6"/>
  <c r="E2" i="2"/>
  <c r="H37" i="32"/>
  <c r="E10" i="5"/>
  <c r="D2" i="2"/>
  <c r="C8" i="32"/>
  <c r="C2" i="32"/>
  <c r="B2" i="32"/>
  <c r="E10" i="4"/>
  <c r="M2" i="2"/>
  <c r="H27" i="32"/>
  <c r="H28" i="32"/>
  <c r="C2" i="2"/>
  <c r="B2" i="2"/>
  <c r="H2" i="2"/>
  <c r="G2" i="2"/>
  <c r="F2" i="2"/>
  <c r="I2" i="2"/>
  <c r="I2" i="32"/>
  <c r="H38" i="32"/>
  <c r="E10" i="3"/>
  <c r="E10" i="14"/>
  <c r="L2" i="2"/>
  <c r="E17" i="22" a="1"/>
  <c r="E17" i="22"/>
  <c r="E10" i="22"/>
  <c r="K23" i="32"/>
  <c r="I17" i="32"/>
  <c r="I22" i="32"/>
  <c r="I18" i="32"/>
  <c r="I19" i="32"/>
  <c r="I20" i="32"/>
  <c r="I21" i="32"/>
  <c r="K2" i="2"/>
  <c r="H30" i="32"/>
  <c r="K8" i="32"/>
  <c r="K5" i="32"/>
  <c r="K6" i="32"/>
  <c r="C23" i="32"/>
  <c r="G23" i="32"/>
  <c r="J17" i="32"/>
  <c r="D8" i="32"/>
  <c r="H35" i="32"/>
  <c r="H36" i="32"/>
  <c r="H29" i="32"/>
  <c r="H26" i="32"/>
  <c r="F29" i="32"/>
  <c r="I29" i="32"/>
  <c r="F28" i="32"/>
  <c r="I28" i="32"/>
  <c r="F27" i="32"/>
  <c r="I27" i="32"/>
  <c r="F26" i="32"/>
  <c r="I26" i="32"/>
  <c r="J8" i="32"/>
  <c r="M8" i="32"/>
  <c r="B8" i="32"/>
  <c r="E8" i="32"/>
  <c r="H8" i="32"/>
  <c r="L8" i="32"/>
  <c r="F8" i="32"/>
  <c r="I8" i="32"/>
  <c r="G8" i="32"/>
  <c r="H23" i="32"/>
  <c r="J21" i="32"/>
  <c r="A173" i="26"/>
  <c r="E17" i="5" a="1"/>
  <c r="E17" i="5"/>
  <c r="X8" i="32"/>
  <c r="Z8" i="32"/>
  <c r="X7" i="32"/>
  <c r="Z7" i="32"/>
  <c r="E164" i="26"/>
  <c r="E165" i="26"/>
  <c r="E17" i="8" a="1"/>
  <c r="E17" i="8"/>
  <c r="G6" i="32"/>
  <c r="E17" i="9" a="1"/>
  <c r="E17" i="9"/>
  <c r="H6" i="32"/>
  <c r="E17" i="3" a="1"/>
  <c r="E17" i="3"/>
  <c r="B6" i="32"/>
  <c r="E17" i="4" a="1"/>
  <c r="E17" i="4"/>
  <c r="C6" i="32"/>
  <c r="E21" i="19" a="1"/>
  <c r="E21" i="19"/>
  <c r="J6" i="32"/>
  <c r="E17" i="6" a="1"/>
  <c r="E17" i="6"/>
  <c r="E6" i="32"/>
  <c r="E5" i="32"/>
  <c r="E12" i="32"/>
  <c r="E17" i="7" a="1"/>
  <c r="E17" i="7"/>
  <c r="F6" i="32"/>
  <c r="F5" i="32"/>
  <c r="F12" i="32"/>
  <c r="Q6" i="32"/>
  <c r="R6" i="32"/>
  <c r="E17" i="10" a="1"/>
  <c r="E17" i="10"/>
  <c r="I6" i="32"/>
  <c r="M6" i="32"/>
  <c r="E17" i="13" a="1"/>
  <c r="E17" i="13"/>
  <c r="L6" i="32"/>
  <c r="J5" i="32"/>
  <c r="J12" i="32"/>
  <c r="I5" i="32"/>
  <c r="I12" i="32"/>
  <c r="J13" i="32"/>
  <c r="G5" i="32"/>
  <c r="D5" i="32"/>
  <c r="M5" i="32"/>
  <c r="C5" i="32"/>
  <c r="L5" i="32"/>
  <c r="B5" i="32"/>
  <c r="H5" i="32"/>
  <c r="D6" i="32"/>
  <c r="E3" i="19"/>
  <c r="E14" i="19"/>
  <c r="J2" i="2"/>
  <c r="J2" i="32"/>
  <c r="E10" i="10"/>
  <c r="T12" i="32"/>
  <c r="S12" i="32"/>
  <c r="E8" i="9"/>
  <c r="E10" i="9"/>
  <c r="E10" i="8"/>
  <c r="G2" i="32"/>
  <c r="H2" i="32"/>
  <c r="F2" i="32"/>
  <c r="M2" i="32"/>
  <c r="L2" i="32"/>
  <c r="K2" i="32"/>
  <c r="M7" i="32"/>
  <c r="E19" i="14"/>
  <c r="S14" i="2"/>
  <c r="T14" i="2"/>
  <c r="A18" i="16"/>
  <c r="A17" i="16"/>
  <c r="A16" i="16"/>
  <c r="A15" i="16"/>
  <c r="A14" i="16"/>
  <c r="A10" i="16"/>
  <c r="A9" i="16"/>
  <c r="A8" i="16"/>
  <c r="A7" i="16"/>
  <c r="T11" i="26"/>
  <c r="J25" i="26"/>
  <c r="S11" i="26"/>
  <c r="T2" i="26"/>
  <c r="S2" i="26"/>
  <c r="S10" i="26"/>
  <c r="I25" i="26"/>
  <c r="A25" i="26"/>
  <c r="T10" i="26"/>
  <c r="K25" i="26"/>
  <c r="S7" i="26"/>
  <c r="B25" i="26"/>
  <c r="T12" i="26"/>
  <c r="T7" i="26"/>
  <c r="S3" i="26"/>
  <c r="H25" i="26"/>
  <c r="T5" i="26"/>
  <c r="S13" i="26"/>
  <c r="S9" i="26"/>
  <c r="S5" i="26"/>
  <c r="L25" i="26"/>
  <c r="T4" i="26"/>
  <c r="T6" i="26"/>
  <c r="T9" i="26"/>
  <c r="D25" i="26"/>
  <c r="T13" i="26"/>
  <c r="S8" i="26"/>
  <c r="G25" i="26"/>
  <c r="S4" i="26"/>
  <c r="T8" i="26"/>
  <c r="C25" i="26"/>
  <c r="S6" i="26"/>
  <c r="E25" i="26"/>
  <c r="S12" i="26"/>
  <c r="F25" i="26"/>
  <c r="T3" i="26"/>
  <c r="J20" i="32"/>
  <c r="C163" i="26"/>
  <c r="H31" i="32"/>
  <c r="H39" i="32"/>
  <c r="I23" i="32"/>
  <c r="O6" i="32" a="1"/>
  <c r="O6" i="32"/>
  <c r="J18" i="32"/>
  <c r="D161" i="26"/>
  <c r="J16" i="32"/>
  <c r="E168" i="26"/>
  <c r="J19" i="32"/>
  <c r="N8" i="32"/>
  <c r="O8" i="32" a="1"/>
  <c r="O8" i="32"/>
  <c r="D12" i="32"/>
  <c r="C12" i="32"/>
  <c r="D13" i="32"/>
  <c r="C173" i="26"/>
  <c r="E173" i="26"/>
  <c r="C164" i="26"/>
  <c r="B173" i="26"/>
  <c r="G12" i="32"/>
  <c r="L12" i="32"/>
  <c r="K12" i="32"/>
  <c r="L13" i="32"/>
  <c r="M12" i="32"/>
  <c r="B170" i="26"/>
  <c r="A170" i="26"/>
  <c r="J22" i="32"/>
  <c r="E174" i="26"/>
  <c r="A163" i="26"/>
  <c r="A172" i="26"/>
  <c r="C172" i="26"/>
  <c r="B172" i="26"/>
  <c r="E172" i="26"/>
  <c r="E163" i="26"/>
  <c r="B161" i="26"/>
  <c r="E170" i="26"/>
  <c r="B162" i="26"/>
  <c r="E171" i="26"/>
  <c r="D162" i="26"/>
  <c r="A171" i="26"/>
  <c r="C162" i="26"/>
  <c r="A162" i="26"/>
  <c r="B171" i="26"/>
  <c r="C171" i="26"/>
  <c r="E162" i="26"/>
  <c r="E159" i="26"/>
  <c r="A159" i="26"/>
  <c r="B174" i="26"/>
  <c r="B18" i="32"/>
  <c r="F36" i="32"/>
  <c r="B17" i="32"/>
  <c r="B37" i="32"/>
  <c r="B38" i="32"/>
  <c r="E20" i="32"/>
  <c r="B30" i="32"/>
  <c r="B20" i="32"/>
  <c r="B22" i="32"/>
  <c r="B35" i="32"/>
  <c r="E19" i="32"/>
  <c r="E22" i="32"/>
  <c r="B36" i="32"/>
  <c r="B19" i="32"/>
  <c r="E18" i="32"/>
  <c r="F37" i="32"/>
  <c r="E16" i="32"/>
  <c r="F38" i="32"/>
  <c r="F30" i="32"/>
  <c r="B16" i="32"/>
  <c r="F35" i="32"/>
  <c r="E21" i="32"/>
  <c r="B21" i="32"/>
  <c r="E17" i="32"/>
  <c r="N12" i="2" a="1"/>
  <c r="N12" i="2"/>
  <c r="N6" i="2" a="1"/>
  <c r="N6" i="2"/>
  <c r="B53" i="26"/>
  <c r="B44" i="26"/>
  <c r="A22" i="26"/>
  <c r="J12" i="26"/>
  <c r="B51" i="26"/>
  <c r="J53" i="26"/>
  <c r="J48" i="26"/>
  <c r="O6" i="2" a="1"/>
  <c r="O6" i="2"/>
  <c r="E5" i="26"/>
  <c r="O7" i="26"/>
  <c r="N2" i="26"/>
  <c r="F22" i="26"/>
  <c r="I6" i="26"/>
  <c r="B12" i="26"/>
  <c r="J22" i="26"/>
  <c r="K22" i="26"/>
  <c r="J4" i="26"/>
  <c r="J9" i="26"/>
  <c r="N10" i="26"/>
  <c r="I4" i="26"/>
  <c r="C20" i="26"/>
  <c r="I8" i="26"/>
  <c r="N4" i="26"/>
  <c r="N3" i="26"/>
  <c r="J20" i="26"/>
  <c r="M5" i="26"/>
  <c r="N13" i="26"/>
  <c r="N9" i="26"/>
  <c r="J7" i="26"/>
  <c r="M7" i="26"/>
  <c r="J10" i="26"/>
  <c r="C22" i="26"/>
  <c r="J3" i="26"/>
  <c r="M9" i="26"/>
  <c r="N9" i="2" a="1"/>
  <c r="N9" i="2"/>
  <c r="N11" i="2" a="1"/>
  <c r="N11" i="2"/>
  <c r="N7" i="26"/>
  <c r="N8" i="26"/>
  <c r="J5" i="26"/>
  <c r="N11" i="32" a="1"/>
  <c r="N11" i="32"/>
  <c r="F20" i="26"/>
  <c r="N11" i="26"/>
  <c r="M3" i="26"/>
  <c r="B22" i="26"/>
  <c r="D22" i="26"/>
  <c r="J6" i="26"/>
  <c r="I5" i="26"/>
  <c r="I2" i="26"/>
  <c r="I3" i="26"/>
  <c r="O9" i="2" a="1"/>
  <c r="O9" i="2"/>
  <c r="I9" i="26"/>
  <c r="E22" i="26"/>
  <c r="M2" i="26"/>
  <c r="M10" i="26"/>
  <c r="L20" i="26"/>
  <c r="M6" i="26"/>
  <c r="G22" i="26"/>
  <c r="L22" i="26"/>
  <c r="I13" i="26"/>
  <c r="H22" i="26"/>
  <c r="G20" i="26"/>
  <c r="M12" i="26"/>
  <c r="H20" i="26"/>
  <c r="M13" i="26"/>
  <c r="M11" i="26"/>
  <c r="J13" i="26"/>
  <c r="N12" i="26"/>
  <c r="B20" i="26"/>
  <c r="M4" i="26"/>
  <c r="N6" i="26"/>
  <c r="E20" i="26"/>
  <c r="N10" i="2" a="1"/>
  <c r="N10" i="2"/>
  <c r="I22" i="26"/>
  <c r="I12" i="26"/>
  <c r="O11" i="2" a="1"/>
  <c r="O11" i="2"/>
  <c r="N5" i="26"/>
  <c r="J8" i="26"/>
  <c r="M8" i="26"/>
  <c r="I20" i="26"/>
  <c r="O13" i="2" a="1"/>
  <c r="O13" i="2"/>
  <c r="N13" i="2" a="1"/>
  <c r="N13" i="2"/>
  <c r="E12" i="8"/>
  <c r="F28" i="26"/>
  <c r="G10" i="32"/>
  <c r="F53" i="26"/>
  <c r="F43" i="26"/>
  <c r="D10" i="32"/>
  <c r="E12" i="5"/>
  <c r="E9" i="26"/>
  <c r="A161" i="26"/>
  <c r="B168" i="26"/>
  <c r="P10" i="26"/>
  <c r="O10" i="2" a="1"/>
  <c r="O10" i="2"/>
  <c r="H12" i="32"/>
  <c r="H13" i="32"/>
  <c r="A23" i="26"/>
  <c r="A168" i="26"/>
  <c r="A165" i="26"/>
  <c r="C168" i="26"/>
  <c r="B18" i="26"/>
  <c r="B8" i="26"/>
  <c r="B165" i="26"/>
  <c r="C159" i="26"/>
  <c r="E161" i="26"/>
  <c r="B47" i="26"/>
  <c r="E13" i="32"/>
  <c r="B3" i="26"/>
  <c r="C174" i="26"/>
  <c r="C161" i="26"/>
  <c r="N7" i="2" a="1"/>
  <c r="N7" i="2"/>
  <c r="B10" i="26"/>
  <c r="K20" i="26"/>
  <c r="O12" i="2" a="1"/>
  <c r="O12" i="2"/>
  <c r="I23" i="26"/>
  <c r="A5" i="26"/>
  <c r="C170" i="26"/>
  <c r="D159" i="26"/>
  <c r="B163" i="26"/>
  <c r="O12" i="32" a="1"/>
  <c r="O12" i="32"/>
  <c r="Q5" i="32"/>
  <c r="R5" i="32"/>
  <c r="Q9" i="32"/>
  <c r="R9" i="32"/>
  <c r="Q8" i="32"/>
  <c r="R8" i="32"/>
  <c r="G13" i="32"/>
  <c r="Q11" i="32"/>
  <c r="R11" i="32"/>
  <c r="F13" i="32"/>
  <c r="E19" i="10"/>
  <c r="I7" i="32"/>
  <c r="E12" i="3"/>
  <c r="C10" i="32"/>
  <c r="E12" i="4"/>
  <c r="B29" i="26"/>
  <c r="E23" i="19"/>
  <c r="J7" i="32"/>
  <c r="I13" i="32"/>
  <c r="D7" i="32"/>
  <c r="E19" i="5"/>
  <c r="E12" i="7"/>
  <c r="F10" i="32"/>
  <c r="Q10" i="32"/>
  <c r="R10" i="32"/>
  <c r="E28" i="26"/>
  <c r="C165" i="26"/>
  <c r="H16" i="26"/>
  <c r="A4" i="26"/>
  <c r="L23" i="26"/>
  <c r="A174" i="26"/>
  <c r="B159" i="26"/>
  <c r="D163" i="26"/>
  <c r="I10" i="26"/>
  <c r="I7" i="26"/>
  <c r="F6" i="26"/>
  <c r="L16" i="26"/>
  <c r="D20" i="26"/>
  <c r="F3" i="26"/>
  <c r="D165" i="26"/>
  <c r="J18" i="26"/>
  <c r="E2" i="26"/>
  <c r="F4" i="26"/>
  <c r="E18" i="26"/>
  <c r="B2" i="26"/>
  <c r="A16" i="26"/>
  <c r="K13" i="32"/>
  <c r="A11" i="26"/>
  <c r="B9" i="26"/>
  <c r="N6" i="32"/>
  <c r="E7" i="26"/>
  <c r="F48" i="26"/>
  <c r="M13" i="32"/>
  <c r="F12" i="26"/>
  <c r="A12" i="26"/>
  <c r="O7" i="2" a="1"/>
  <c r="O7" i="2"/>
  <c r="B164" i="26"/>
  <c r="O5" i="2" a="1"/>
  <c r="O5" i="2"/>
  <c r="N5" i="32"/>
  <c r="A164" i="26"/>
  <c r="A20" i="26"/>
  <c r="I11" i="26"/>
  <c r="J2" i="26"/>
  <c r="J11" i="26"/>
  <c r="N5" i="2" a="1"/>
  <c r="N5" i="2"/>
  <c r="D164" i="26"/>
  <c r="D18" i="26"/>
  <c r="A3" i="26"/>
  <c r="E8" i="26"/>
  <c r="E16" i="26"/>
  <c r="F16" i="26"/>
  <c r="A2" i="26"/>
  <c r="B11" i="26"/>
  <c r="A8" i="26"/>
  <c r="O5" i="32" a="1"/>
  <c r="O5" i="32"/>
  <c r="E13" i="26"/>
  <c r="F11" i="26"/>
  <c r="K16" i="26"/>
  <c r="D16" i="26"/>
  <c r="A78" i="26"/>
  <c r="A114" i="26"/>
  <c r="A147" i="26"/>
  <c r="A74" i="26"/>
  <c r="A66" i="26"/>
  <c r="A100" i="26"/>
  <c r="A119" i="26"/>
  <c r="A59" i="26"/>
  <c r="A60" i="26"/>
  <c r="A96" i="26"/>
  <c r="A149" i="26"/>
  <c r="A87" i="26"/>
  <c r="A76" i="26"/>
  <c r="A101" i="26"/>
  <c r="A97" i="26"/>
  <c r="A124" i="26"/>
  <c r="A61" i="26"/>
  <c r="A77" i="26"/>
  <c r="A152" i="26"/>
  <c r="A88" i="26"/>
  <c r="A125" i="26"/>
  <c r="A57" i="26"/>
  <c r="A69" i="26"/>
  <c r="A83" i="26"/>
  <c r="A141" i="26"/>
  <c r="A148" i="26"/>
  <c r="A84" i="26"/>
  <c r="A146" i="26"/>
  <c r="A62" i="26"/>
  <c r="A65" i="26"/>
  <c r="A99" i="26"/>
  <c r="A139" i="26"/>
  <c r="A142" i="26"/>
  <c r="A112" i="26"/>
  <c r="A126" i="26"/>
  <c r="A132" i="26"/>
  <c r="A86" i="26"/>
  <c r="A102" i="26"/>
  <c r="A121" i="26"/>
  <c r="A136" i="26"/>
  <c r="A72" i="26"/>
  <c r="A138" i="26"/>
  <c r="A111" i="26"/>
  <c r="A131" i="26"/>
  <c r="A144" i="26"/>
  <c r="A91" i="26"/>
  <c r="A79" i="26"/>
  <c r="A123" i="26"/>
  <c r="A89" i="26"/>
  <c r="A128" i="26"/>
  <c r="A143" i="26"/>
  <c r="A155" i="26"/>
  <c r="A81" i="26"/>
  <c r="A153" i="26"/>
  <c r="A151" i="26"/>
  <c r="A90" i="26"/>
  <c r="A82" i="26"/>
  <c r="A133" i="26"/>
  <c r="A115" i="26"/>
  <c r="I36" i="32"/>
  <c r="G36" i="32"/>
  <c r="E137" i="26"/>
  <c r="E103" i="26"/>
  <c r="E74" i="26"/>
  <c r="E149" i="26"/>
  <c r="E105" i="26"/>
  <c r="E72" i="26"/>
  <c r="E59" i="26"/>
  <c r="E57" i="26"/>
  <c r="E75" i="26"/>
  <c r="E111" i="26"/>
  <c r="E123" i="26"/>
  <c r="E95" i="26"/>
  <c r="E132" i="26"/>
  <c r="E62" i="26"/>
  <c r="E141" i="26"/>
  <c r="E126" i="26"/>
  <c r="E118" i="26"/>
  <c r="E148" i="26"/>
  <c r="E83" i="26"/>
  <c r="E130" i="26"/>
  <c r="E81" i="26"/>
  <c r="E97" i="26"/>
  <c r="E134" i="26"/>
  <c r="E89" i="26"/>
  <c r="E91" i="26"/>
  <c r="E86" i="26"/>
  <c r="E122" i="26"/>
  <c r="E99" i="26"/>
  <c r="E93" i="26"/>
  <c r="E110" i="26"/>
  <c r="E124" i="26"/>
  <c r="E71" i="26"/>
  <c r="E106" i="26"/>
  <c r="E117" i="26"/>
  <c r="E109" i="26"/>
  <c r="E142" i="26"/>
  <c r="E88" i="26"/>
  <c r="E139" i="26"/>
  <c r="E90" i="26"/>
  <c r="E150" i="26"/>
  <c r="E138" i="26"/>
  <c r="E116" i="26"/>
  <c r="E60" i="26"/>
  <c r="E112" i="26"/>
  <c r="E65" i="26"/>
  <c r="E143" i="26"/>
  <c r="E129" i="26"/>
  <c r="E73" i="26"/>
  <c r="E154" i="26"/>
  <c r="E152" i="26"/>
  <c r="E82" i="26"/>
  <c r="E146" i="26"/>
  <c r="E68" i="26"/>
  <c r="E108" i="26"/>
  <c r="E84" i="26"/>
  <c r="E125" i="26"/>
  <c r="E145" i="26"/>
  <c r="E102" i="26"/>
  <c r="E114" i="26"/>
  <c r="E155" i="26"/>
  <c r="E79" i="26"/>
  <c r="E61" i="26"/>
  <c r="E156" i="26"/>
  <c r="E58" i="26"/>
  <c r="E63" i="26"/>
  <c r="E96" i="26"/>
  <c r="E66" i="26"/>
  <c r="E119" i="26"/>
  <c r="E78" i="26"/>
  <c r="E76" i="26"/>
  <c r="E120" i="26"/>
  <c r="E115" i="26"/>
  <c r="E85" i="26"/>
  <c r="E94" i="26"/>
  <c r="E100" i="26"/>
  <c r="E135" i="26"/>
  <c r="E140" i="26"/>
  <c r="E69" i="26"/>
  <c r="E77" i="26"/>
  <c r="E98" i="26"/>
  <c r="E133" i="26"/>
  <c r="E127" i="26"/>
  <c r="E107" i="26"/>
  <c r="E70" i="26"/>
  <c r="E64" i="26"/>
  <c r="E67" i="26"/>
  <c r="E92" i="26"/>
  <c r="E128" i="26"/>
  <c r="E121" i="26"/>
  <c r="E136" i="26"/>
  <c r="E101" i="26"/>
  <c r="E153" i="26"/>
  <c r="E104" i="26"/>
  <c r="E144" i="26"/>
  <c r="E80" i="26"/>
  <c r="E151" i="26"/>
  <c r="E113" i="26"/>
  <c r="E147" i="26"/>
  <c r="E87" i="26"/>
  <c r="E131" i="26"/>
  <c r="I37" i="32"/>
  <c r="G37" i="32"/>
  <c r="F156" i="26"/>
  <c r="F98" i="26"/>
  <c r="F149" i="26"/>
  <c r="F119" i="26"/>
  <c r="F146" i="26"/>
  <c r="F92" i="26"/>
  <c r="F111" i="26"/>
  <c r="F151" i="26"/>
  <c r="F107" i="26"/>
  <c r="F58" i="26"/>
  <c r="F76" i="26"/>
  <c r="F135" i="26"/>
  <c r="F84" i="26"/>
  <c r="F103" i="26"/>
  <c r="F61" i="26"/>
  <c r="F132" i="26"/>
  <c r="F116" i="26"/>
  <c r="F65" i="26"/>
  <c r="F153" i="26"/>
  <c r="F136" i="26"/>
  <c r="F138" i="26"/>
  <c r="F69" i="26"/>
  <c r="F122" i="26"/>
  <c r="F74" i="26"/>
  <c r="F75" i="26"/>
  <c r="F114" i="26"/>
  <c r="F60" i="26"/>
  <c r="F87" i="26"/>
  <c r="F78" i="26"/>
  <c r="F101" i="26"/>
  <c r="F82" i="26"/>
  <c r="F128" i="26"/>
  <c r="F89" i="26"/>
  <c r="F130" i="26"/>
  <c r="F129" i="26"/>
  <c r="F99" i="26"/>
  <c r="F127" i="26"/>
  <c r="F73" i="26"/>
  <c r="F148" i="26"/>
  <c r="F113" i="26"/>
  <c r="F66" i="26"/>
  <c r="F131" i="26"/>
  <c r="F150" i="26"/>
  <c r="F154" i="26"/>
  <c r="F90" i="26"/>
  <c r="F93" i="26"/>
  <c r="F72" i="26"/>
  <c r="F86" i="26"/>
  <c r="F115" i="26"/>
  <c r="F85" i="26"/>
  <c r="F67" i="26"/>
  <c r="F124" i="26"/>
  <c r="F139" i="26"/>
  <c r="F110" i="26"/>
  <c r="F118" i="26"/>
  <c r="F137" i="26"/>
  <c r="F64" i="26"/>
  <c r="F141" i="26"/>
  <c r="F133" i="26"/>
  <c r="F83" i="26"/>
  <c r="F117" i="26"/>
  <c r="F109" i="26"/>
  <c r="F88" i="26"/>
  <c r="F100" i="26"/>
  <c r="F142" i="26"/>
  <c r="F79" i="26"/>
  <c r="F62" i="26"/>
  <c r="F108" i="26"/>
  <c r="F143" i="26"/>
  <c r="F134" i="26"/>
  <c r="F112" i="26"/>
  <c r="F106" i="26"/>
  <c r="F94" i="26"/>
  <c r="F152" i="26"/>
  <c r="F123" i="26"/>
  <c r="F57" i="26"/>
  <c r="F97" i="26"/>
  <c r="F63" i="26"/>
  <c r="F104" i="26"/>
  <c r="F155" i="26"/>
  <c r="F80" i="26"/>
  <c r="F77" i="26"/>
  <c r="F71" i="26"/>
  <c r="F105" i="26"/>
  <c r="F121" i="26"/>
  <c r="F140" i="26"/>
  <c r="F96" i="26"/>
  <c r="F68" i="26"/>
  <c r="F145" i="26"/>
  <c r="F144" i="26"/>
  <c r="F147" i="26"/>
  <c r="F125" i="26"/>
  <c r="F70" i="26"/>
  <c r="F126" i="26"/>
  <c r="F120" i="26"/>
  <c r="F102" i="26"/>
  <c r="F91" i="26"/>
  <c r="F95" i="26"/>
  <c r="F59" i="26"/>
  <c r="F81" i="26"/>
  <c r="I30" i="32"/>
  <c r="J30" i="32"/>
  <c r="C81" i="26"/>
  <c r="C80" i="26"/>
  <c r="C75" i="26"/>
  <c r="C102" i="26"/>
  <c r="C109" i="26"/>
  <c r="C90" i="26"/>
  <c r="C139" i="26"/>
  <c r="C145" i="26"/>
  <c r="C92" i="26"/>
  <c r="C94" i="26"/>
  <c r="C143" i="26"/>
  <c r="C65" i="26"/>
  <c r="C69" i="26"/>
  <c r="C124" i="26"/>
  <c r="C123" i="26"/>
  <c r="C59" i="26"/>
  <c r="C149" i="26"/>
  <c r="C152" i="26"/>
  <c r="C85" i="26"/>
  <c r="C150" i="26"/>
  <c r="C148" i="26"/>
  <c r="C100" i="26"/>
  <c r="C122" i="26"/>
  <c r="C74" i="26"/>
  <c r="C76" i="26"/>
  <c r="C110" i="26"/>
  <c r="C147" i="26"/>
  <c r="C83" i="26"/>
  <c r="C89" i="26"/>
  <c r="C78" i="26"/>
  <c r="C146" i="26"/>
  <c r="C121" i="26"/>
  <c r="C101" i="26"/>
  <c r="C125" i="26"/>
  <c r="C138" i="26"/>
  <c r="C79" i="26"/>
  <c r="C66" i="26"/>
  <c r="C116" i="26"/>
  <c r="C106" i="26"/>
  <c r="C68" i="26"/>
  <c r="C108" i="26"/>
  <c r="C151" i="26"/>
  <c r="C77" i="26"/>
  <c r="C126" i="26"/>
  <c r="C130" i="26"/>
  <c r="C93" i="26"/>
  <c r="C136" i="26"/>
  <c r="C156" i="26"/>
  <c r="C142" i="26"/>
  <c r="C64" i="26"/>
  <c r="C134" i="26"/>
  <c r="C67" i="26"/>
  <c r="C111" i="26"/>
  <c r="C133" i="26"/>
  <c r="C96" i="26"/>
  <c r="C70" i="26"/>
  <c r="C86" i="26"/>
  <c r="C82" i="26"/>
  <c r="C63" i="26"/>
  <c r="C144" i="26"/>
  <c r="C58" i="26"/>
  <c r="C114" i="26"/>
  <c r="C61" i="26"/>
  <c r="C72" i="26"/>
  <c r="C140" i="26"/>
  <c r="C103" i="26"/>
  <c r="C153" i="26"/>
  <c r="C88" i="26"/>
  <c r="C119" i="26"/>
  <c r="C87" i="26"/>
  <c r="C95" i="26"/>
  <c r="C132" i="26"/>
  <c r="I35" i="32"/>
  <c r="D125" i="26"/>
  <c r="D90" i="26"/>
  <c r="D146" i="26"/>
  <c r="D156" i="26"/>
  <c r="D137" i="26"/>
  <c r="D73" i="26"/>
  <c r="D127" i="26"/>
  <c r="D134" i="26"/>
  <c r="D64" i="26"/>
  <c r="D81" i="26"/>
  <c r="D83" i="26"/>
  <c r="D101" i="26"/>
  <c r="D147" i="26"/>
  <c r="D139" i="26"/>
  <c r="D111" i="26"/>
  <c r="D70" i="26"/>
  <c r="D62" i="26"/>
  <c r="D75" i="26"/>
  <c r="D110" i="26"/>
  <c r="D100" i="26"/>
  <c r="D118" i="26"/>
  <c r="D123" i="26"/>
  <c r="D131" i="26"/>
  <c r="D74" i="26"/>
  <c r="D149" i="26"/>
  <c r="D126" i="26"/>
  <c r="D135" i="26"/>
  <c r="D61" i="26"/>
  <c r="D117" i="26"/>
  <c r="D95" i="26"/>
  <c r="D94" i="26"/>
  <c r="D66" i="26"/>
  <c r="D102" i="26"/>
  <c r="D84" i="26"/>
  <c r="D109" i="26"/>
  <c r="D153" i="26"/>
  <c r="D71" i="26"/>
  <c r="D80" i="26"/>
  <c r="D60" i="26"/>
  <c r="D129" i="26"/>
  <c r="D113" i="26"/>
  <c r="D67" i="26"/>
  <c r="D132" i="26"/>
  <c r="D104" i="26"/>
  <c r="D89" i="26"/>
  <c r="D92" i="26"/>
  <c r="D150" i="26"/>
  <c r="D122" i="26"/>
  <c r="D76" i="26"/>
  <c r="D108" i="26"/>
  <c r="D138" i="26"/>
  <c r="D85" i="26"/>
  <c r="D58" i="26"/>
  <c r="D78" i="26"/>
  <c r="D114" i="26"/>
  <c r="D77" i="26"/>
  <c r="D82" i="26"/>
  <c r="D72" i="26"/>
  <c r="D119" i="26"/>
  <c r="D148" i="26"/>
  <c r="D59" i="26"/>
  <c r="D57" i="26"/>
  <c r="D68" i="26"/>
  <c r="D99" i="26"/>
  <c r="D133" i="26"/>
  <c r="D106" i="26"/>
  <c r="D140" i="26"/>
  <c r="D141" i="26"/>
  <c r="D120" i="26"/>
  <c r="D86" i="26"/>
  <c r="D91" i="26"/>
  <c r="D145" i="26"/>
  <c r="D112" i="26"/>
  <c r="D121" i="26"/>
  <c r="D63" i="26"/>
  <c r="D128" i="26"/>
  <c r="D152" i="26"/>
  <c r="D130" i="26"/>
  <c r="D124" i="26"/>
  <c r="D98" i="26"/>
  <c r="D88" i="26"/>
  <c r="D79" i="26"/>
  <c r="D105" i="26"/>
  <c r="D96" i="26"/>
  <c r="D115" i="26"/>
  <c r="D155" i="26"/>
  <c r="D69" i="26"/>
  <c r="D143" i="26"/>
  <c r="D142" i="26"/>
  <c r="D97" i="26"/>
  <c r="D151" i="26"/>
  <c r="D116" i="26"/>
  <c r="D65" i="26"/>
  <c r="D103" i="26"/>
  <c r="D154" i="26"/>
  <c r="D136" i="26"/>
  <c r="D107" i="26"/>
  <c r="D93" i="26"/>
  <c r="D144" i="26"/>
  <c r="D87" i="26"/>
  <c r="B151" i="26"/>
  <c r="B96" i="26"/>
  <c r="B80" i="26"/>
  <c r="B85" i="26"/>
  <c r="B147" i="26"/>
  <c r="B107" i="26"/>
  <c r="B58" i="26"/>
  <c r="B71" i="26"/>
  <c r="B149" i="26"/>
  <c r="B129" i="26"/>
  <c r="B60" i="26"/>
  <c r="B84" i="26"/>
  <c r="B144" i="26"/>
  <c r="B113" i="26"/>
  <c r="B92" i="26"/>
  <c r="B76" i="26"/>
  <c r="B95" i="26"/>
  <c r="B132" i="26"/>
  <c r="B115" i="26"/>
  <c r="B90" i="26"/>
  <c r="B64" i="26"/>
  <c r="B141" i="26"/>
  <c r="B69" i="26"/>
  <c r="B99" i="26"/>
  <c r="B74" i="26"/>
  <c r="B152" i="26"/>
  <c r="B72" i="26"/>
  <c r="B94" i="26"/>
  <c r="B155" i="26"/>
  <c r="B88" i="26"/>
  <c r="B104" i="26"/>
  <c r="B112" i="26"/>
  <c r="B145" i="26"/>
  <c r="B65" i="26"/>
  <c r="B139" i="26"/>
  <c r="B111" i="26"/>
  <c r="B118" i="26"/>
  <c r="B120" i="26"/>
  <c r="B83" i="26"/>
  <c r="B116" i="26"/>
  <c r="B98" i="26"/>
  <c r="B86" i="26"/>
  <c r="B105" i="26"/>
  <c r="B87" i="26"/>
  <c r="B101" i="26"/>
  <c r="B121" i="26"/>
  <c r="B114" i="26"/>
  <c r="B146" i="26"/>
  <c r="B73" i="26"/>
  <c r="B126" i="26"/>
  <c r="B134" i="26"/>
  <c r="B109" i="26"/>
  <c r="B154" i="26"/>
  <c r="B153" i="26"/>
  <c r="B125" i="26"/>
  <c r="B142" i="26"/>
  <c r="B150" i="26"/>
  <c r="B138" i="26"/>
  <c r="B102" i="26"/>
  <c r="B131" i="26"/>
  <c r="I38" i="32"/>
  <c r="G38" i="32"/>
  <c r="E12" i="6"/>
  <c r="D53" i="26"/>
  <c r="E10" i="32"/>
  <c r="I33" i="26"/>
  <c r="E16" i="19"/>
  <c r="E19" i="6"/>
  <c r="E7" i="32"/>
  <c r="J17" i="26"/>
  <c r="D7" i="26"/>
  <c r="D3" i="26"/>
  <c r="D5" i="26"/>
  <c r="D17" i="26"/>
  <c r="C13" i="26"/>
  <c r="C5" i="26"/>
  <c r="C3" i="26"/>
  <c r="D10" i="26"/>
  <c r="H17" i="26"/>
  <c r="D2" i="26"/>
  <c r="C4" i="26"/>
  <c r="E17" i="26"/>
  <c r="D6" i="26"/>
  <c r="A17" i="26"/>
  <c r="L17" i="26"/>
  <c r="C11" i="26"/>
  <c r="D12" i="26"/>
  <c r="C7" i="26"/>
  <c r="C2" i="26"/>
  <c r="C12" i="26"/>
  <c r="D9" i="26"/>
  <c r="F17" i="26"/>
  <c r="D8" i="26"/>
  <c r="C10" i="26"/>
  <c r="C6" i="26"/>
  <c r="D11" i="26"/>
  <c r="K17" i="26"/>
  <c r="C17" i="26"/>
  <c r="G17" i="26"/>
  <c r="I17" i="26"/>
  <c r="C8" i="26"/>
  <c r="D13" i="26"/>
  <c r="C9" i="26"/>
  <c r="B17" i="26"/>
  <c r="L7" i="32"/>
  <c r="E19" i="13"/>
  <c r="D160" i="26"/>
  <c r="J23" i="32"/>
  <c r="A160" i="26"/>
  <c r="E169" i="26"/>
  <c r="C160" i="26"/>
  <c r="E160" i="26"/>
  <c r="B160" i="26"/>
  <c r="A169" i="26"/>
  <c r="C169" i="26"/>
  <c r="B169" i="26"/>
  <c r="K37" i="26"/>
  <c r="E12" i="13"/>
  <c r="L10" i="32"/>
  <c r="H10" i="32"/>
  <c r="E12" i="9"/>
  <c r="G33" i="26"/>
  <c r="E19" i="4"/>
  <c r="C7" i="32"/>
  <c r="E12" i="22"/>
  <c r="E21" i="26"/>
  <c r="H33" i="26"/>
  <c r="I10" i="32"/>
  <c r="E12" i="10"/>
  <c r="B7" i="32"/>
  <c r="E19" i="3"/>
  <c r="G26" i="32"/>
  <c r="I31" i="32"/>
  <c r="G31" i="32"/>
  <c r="J26" i="32"/>
  <c r="K7" i="26"/>
  <c r="K10" i="26"/>
  <c r="L12" i="26"/>
  <c r="A21" i="26"/>
  <c r="H21" i="26"/>
  <c r="K8" i="26"/>
  <c r="F21" i="26"/>
  <c r="L9" i="26"/>
  <c r="L10" i="26"/>
  <c r="B21" i="26"/>
  <c r="K6" i="26"/>
  <c r="K9" i="26"/>
  <c r="K5" i="26"/>
  <c r="L11" i="26"/>
  <c r="L2" i="26"/>
  <c r="D21" i="26"/>
  <c r="K21" i="26"/>
  <c r="L7" i="26"/>
  <c r="L6" i="26"/>
  <c r="L3" i="26"/>
  <c r="K11" i="26"/>
  <c r="J27" i="32"/>
  <c r="G27" i="32"/>
  <c r="K7" i="32"/>
  <c r="E19" i="22"/>
  <c r="M10" i="32"/>
  <c r="L33" i="26"/>
  <c r="E12" i="14"/>
  <c r="F7" i="32"/>
  <c r="E19" i="7"/>
  <c r="J28" i="32"/>
  <c r="G28" i="32"/>
  <c r="F24" i="26"/>
  <c r="R7" i="26"/>
  <c r="R11" i="26"/>
  <c r="Q4" i="26"/>
  <c r="Q7" i="26"/>
  <c r="D24" i="26"/>
  <c r="R13" i="26"/>
  <c r="Q13" i="26"/>
  <c r="R4" i="26"/>
  <c r="Q2" i="26"/>
  <c r="Q9" i="26"/>
  <c r="C24" i="26"/>
  <c r="R2" i="26"/>
  <c r="B24" i="26"/>
  <c r="Q5" i="26"/>
  <c r="R8" i="26"/>
  <c r="E24" i="26"/>
  <c r="I24" i="26"/>
  <c r="G24" i="26"/>
  <c r="J24" i="26"/>
  <c r="L24" i="26"/>
  <c r="R3" i="26"/>
  <c r="R5" i="26"/>
  <c r="Q10" i="26"/>
  <c r="Q6" i="26"/>
  <c r="R6" i="26"/>
  <c r="H24" i="26"/>
  <c r="R10" i="26"/>
  <c r="Q8" i="26"/>
  <c r="A24" i="26"/>
  <c r="Q3" i="26"/>
  <c r="R9" i="26"/>
  <c r="Q11" i="26"/>
  <c r="L13" i="26"/>
  <c r="K13" i="26"/>
  <c r="L21" i="26"/>
  <c r="E19" i="9"/>
  <c r="H7" i="32"/>
  <c r="J29" i="32"/>
  <c r="G29" i="32"/>
  <c r="K24" i="26"/>
  <c r="Q12" i="26"/>
  <c r="K53" i="26"/>
  <c r="K45" i="26"/>
  <c r="R12" i="26"/>
  <c r="E19" i="8"/>
  <c r="G7" i="32"/>
  <c r="C33" i="26"/>
  <c r="C30" i="26"/>
  <c r="B100" i="26"/>
  <c r="C57" i="26"/>
  <c r="A145" i="26"/>
  <c r="C129" i="26"/>
  <c r="A129" i="26"/>
  <c r="C120" i="26"/>
  <c r="B108" i="26"/>
  <c r="C113" i="26"/>
  <c r="B97" i="26"/>
  <c r="C128" i="26"/>
  <c r="A137" i="26"/>
  <c r="C105" i="26"/>
  <c r="A67" i="26"/>
  <c r="A117" i="26"/>
  <c r="A58" i="26"/>
  <c r="B124" i="26"/>
  <c r="B148" i="26"/>
  <c r="B63" i="26"/>
  <c r="P6" i="26"/>
  <c r="L18" i="26"/>
  <c r="H18" i="26"/>
  <c r="F10" i="26"/>
  <c r="P3" i="26"/>
  <c r="E12" i="26"/>
  <c r="A13" i="26"/>
  <c r="K4" i="26"/>
  <c r="A9" i="26"/>
  <c r="O9" i="26"/>
  <c r="F40" i="26"/>
  <c r="C32" i="26"/>
  <c r="A107" i="26"/>
  <c r="A64" i="26"/>
  <c r="C117" i="26"/>
  <c r="C71" i="26"/>
  <c r="A150" i="26"/>
  <c r="A127" i="26"/>
  <c r="A140" i="26"/>
  <c r="A122" i="26"/>
  <c r="B117" i="26"/>
  <c r="B81" i="26"/>
  <c r="B127" i="26"/>
  <c r="H23" i="26"/>
  <c r="C21" i="26"/>
  <c r="G21" i="26"/>
  <c r="J21" i="26"/>
  <c r="I18" i="26"/>
  <c r="E23" i="26"/>
  <c r="F9" i="26"/>
  <c r="E11" i="26"/>
  <c r="O3" i="26"/>
  <c r="L4" i="26"/>
  <c r="J16" i="26"/>
  <c r="P5" i="26"/>
  <c r="B12" i="32"/>
  <c r="B6" i="26"/>
  <c r="P12" i="26"/>
  <c r="O10" i="26"/>
  <c r="D4" i="26"/>
  <c r="C37" i="26"/>
  <c r="B128" i="26"/>
  <c r="C62" i="26"/>
  <c r="A71" i="26"/>
  <c r="A93" i="26"/>
  <c r="A116" i="26"/>
  <c r="B103" i="26"/>
  <c r="B123" i="26"/>
  <c r="C154" i="26"/>
  <c r="L8" i="26"/>
  <c r="G16" i="26"/>
  <c r="F13" i="26"/>
  <c r="C18" i="26"/>
  <c r="P7" i="26"/>
  <c r="O4" i="26"/>
  <c r="D23" i="26"/>
  <c r="O2" i="26"/>
  <c r="A95" i="26"/>
  <c r="A68" i="26"/>
  <c r="A106" i="26"/>
  <c r="A134" i="26"/>
  <c r="B79" i="26"/>
  <c r="B130" i="26"/>
  <c r="C84" i="26"/>
  <c r="P4" i="26"/>
  <c r="I21" i="26"/>
  <c r="E10" i="26"/>
  <c r="K12" i="26"/>
  <c r="K18" i="26"/>
  <c r="A7" i="26"/>
  <c r="O8" i="26"/>
  <c r="B7" i="26"/>
  <c r="C31" i="26"/>
  <c r="B133" i="26"/>
  <c r="C131" i="26"/>
  <c r="C141" i="26"/>
  <c r="A108" i="26"/>
  <c r="C118" i="26"/>
  <c r="A154" i="26"/>
  <c r="B62" i="26"/>
  <c r="B140" i="26"/>
  <c r="A85" i="26"/>
  <c r="B66" i="26"/>
  <c r="A98" i="26"/>
  <c r="A130" i="26"/>
  <c r="B156" i="26"/>
  <c r="B89" i="26"/>
  <c r="B91" i="26"/>
  <c r="C97" i="26"/>
  <c r="O11" i="26"/>
  <c r="E6" i="26"/>
  <c r="C23" i="26"/>
  <c r="P2" i="26"/>
  <c r="C91" i="26"/>
  <c r="B110" i="26"/>
  <c r="A109" i="26"/>
  <c r="A75" i="26"/>
  <c r="C115" i="26"/>
  <c r="C155" i="26"/>
  <c r="A135" i="26"/>
  <c r="C73" i="26"/>
  <c r="B68" i="26"/>
  <c r="A70" i="26"/>
  <c r="A73" i="26"/>
  <c r="C107" i="26"/>
  <c r="B75" i="26"/>
  <c r="A104" i="26"/>
  <c r="B137" i="26"/>
  <c r="B119" i="26"/>
  <c r="B70" i="26"/>
  <c r="C99" i="26"/>
  <c r="K2" i="26"/>
  <c r="F2" i="26"/>
  <c r="L5" i="26"/>
  <c r="P13" i="26"/>
  <c r="K23" i="26"/>
  <c r="P9" i="26"/>
  <c r="P11" i="26"/>
  <c r="O5" i="26"/>
  <c r="F8" i="26"/>
  <c r="K3" i="26"/>
  <c r="B13" i="26"/>
  <c r="C35" i="26"/>
  <c r="A118" i="26"/>
  <c r="C112" i="26"/>
  <c r="C98" i="26"/>
  <c r="C127" i="26"/>
  <c r="A120" i="26"/>
  <c r="B61" i="26"/>
  <c r="C104" i="26"/>
  <c r="C60" i="26"/>
  <c r="A113" i="26"/>
  <c r="A110" i="26"/>
  <c r="A156" i="26"/>
  <c r="B57" i="26"/>
  <c r="B93" i="26"/>
  <c r="B136" i="26"/>
  <c r="C135" i="26"/>
  <c r="J23" i="26"/>
  <c r="E4" i="26"/>
  <c r="F23" i="26"/>
  <c r="E3" i="26"/>
  <c r="P8" i="26"/>
  <c r="B5" i="26"/>
  <c r="I16" i="26"/>
  <c r="A6" i="26"/>
  <c r="A10" i="26"/>
  <c r="B16" i="26"/>
  <c r="C36" i="26"/>
  <c r="B122" i="26"/>
  <c r="A92" i="26"/>
  <c r="A103" i="26"/>
  <c r="B78" i="26"/>
  <c r="B67" i="26"/>
  <c r="B59" i="26"/>
  <c r="C137" i="26"/>
  <c r="F7" i="26"/>
  <c r="A18" i="26"/>
  <c r="B23" i="26"/>
  <c r="O13" i="26"/>
  <c r="B4" i="26"/>
  <c r="C34" i="26"/>
  <c r="A80" i="26"/>
  <c r="B135" i="26"/>
  <c r="B143" i="26"/>
  <c r="A63" i="26"/>
  <c r="A94" i="26"/>
  <c r="A105" i="26"/>
  <c r="B77" i="26"/>
  <c r="B82" i="26"/>
  <c r="B106" i="26"/>
  <c r="F18" i="26"/>
  <c r="F5" i="26"/>
  <c r="O12" i="26"/>
  <c r="O6" i="26"/>
  <c r="G18" i="26"/>
  <c r="G23" i="26"/>
  <c r="C16" i="26"/>
  <c r="F21" i="32"/>
  <c r="F22" i="32"/>
  <c r="F20" i="32"/>
  <c r="F17" i="32"/>
  <c r="F18" i="32"/>
  <c r="F19" i="32"/>
  <c r="F16" i="32"/>
  <c r="D51" i="26"/>
  <c r="D44" i="26"/>
  <c r="D45" i="26"/>
  <c r="D50" i="26"/>
  <c r="D49" i="26"/>
  <c r="D43" i="26"/>
  <c r="D52" i="26"/>
  <c r="D47" i="26"/>
  <c r="D48" i="26"/>
  <c r="B48" i="26"/>
  <c r="G15" i="2"/>
  <c r="C53" i="26"/>
  <c r="C43" i="26"/>
  <c r="H53" i="26"/>
  <c r="H48" i="26"/>
  <c r="B50" i="26"/>
  <c r="J49" i="26"/>
  <c r="J51" i="26"/>
  <c r="I53" i="26"/>
  <c r="I45" i="26"/>
  <c r="A35" i="26"/>
  <c r="C15" i="2"/>
  <c r="L53" i="26"/>
  <c r="L51" i="26"/>
  <c r="J50" i="26"/>
  <c r="B52" i="26"/>
  <c r="A53" i="26"/>
  <c r="J43" i="26"/>
  <c r="B43" i="26"/>
  <c r="J44" i="26"/>
  <c r="E15" i="2"/>
  <c r="B49" i="26"/>
  <c r="J52" i="26"/>
  <c r="E53" i="26"/>
  <c r="E47" i="26"/>
  <c r="G53" i="26"/>
  <c r="J45" i="26"/>
  <c r="B45" i="26"/>
  <c r="J47" i="26"/>
  <c r="C47" i="26"/>
  <c r="C49" i="26"/>
  <c r="C50" i="26"/>
  <c r="B36" i="26"/>
  <c r="C46" i="26"/>
  <c r="G37" i="26"/>
  <c r="I30" i="26"/>
  <c r="F15" i="2"/>
  <c r="C52" i="26"/>
  <c r="C44" i="26"/>
  <c r="G48" i="26"/>
  <c r="K36" i="26"/>
  <c r="I37" i="26"/>
  <c r="C48" i="26"/>
  <c r="K35" i="26"/>
  <c r="K51" i="26"/>
  <c r="C45" i="26"/>
  <c r="D15" i="2"/>
  <c r="K28" i="26"/>
  <c r="G45" i="26"/>
  <c r="G49" i="26"/>
  <c r="E30" i="26"/>
  <c r="E48" i="26"/>
  <c r="E50" i="26"/>
  <c r="E43" i="26"/>
  <c r="E52" i="26"/>
  <c r="E44" i="26"/>
  <c r="E45" i="26"/>
  <c r="F49" i="26"/>
  <c r="F44" i="26"/>
  <c r="F36" i="26"/>
  <c r="H32" i="26"/>
  <c r="F35" i="26"/>
  <c r="F45" i="26"/>
  <c r="N40" i="26"/>
  <c r="L48" i="26"/>
  <c r="F52" i="26"/>
  <c r="F32" i="26"/>
  <c r="E32" i="26"/>
  <c r="F51" i="26"/>
  <c r="F47" i="26"/>
  <c r="F46" i="26"/>
  <c r="F31" i="26"/>
  <c r="L40" i="26"/>
  <c r="A33" i="26"/>
  <c r="F30" i="26"/>
  <c r="F29" i="26"/>
  <c r="O10" i="32" a="1"/>
  <c r="O10" i="32"/>
  <c r="Q12" i="2"/>
  <c r="R12" i="2"/>
  <c r="Q10" i="2"/>
  <c r="R10" i="2"/>
  <c r="Q9" i="2"/>
  <c r="R9" i="2"/>
  <c r="Q7" i="2"/>
  <c r="R7" i="2"/>
  <c r="H7" i="26"/>
  <c r="F37" i="26"/>
  <c r="F50" i="26"/>
  <c r="F33" i="26"/>
  <c r="F34" i="26"/>
  <c r="G30" i="32"/>
  <c r="O14" i="2" a="1"/>
  <c r="O14" i="2"/>
  <c r="Q12" i="32"/>
  <c r="K29" i="26"/>
  <c r="H36" i="26"/>
  <c r="N12" i="32"/>
  <c r="E29" i="26"/>
  <c r="G2" i="26"/>
  <c r="F19" i="26"/>
  <c r="B1" i="26"/>
  <c r="D1" i="26"/>
  <c r="I32" i="26"/>
  <c r="H2" i="26"/>
  <c r="G6" i="26"/>
  <c r="H51" i="26"/>
  <c r="H50" i="26"/>
  <c r="C29" i="26"/>
  <c r="C28" i="26"/>
  <c r="B28" i="26"/>
  <c r="B46" i="26"/>
  <c r="B34" i="26"/>
  <c r="B35" i="26"/>
  <c r="B31" i="26"/>
  <c r="D40" i="26"/>
  <c r="B30" i="26"/>
  <c r="B37" i="26"/>
  <c r="B33" i="26"/>
  <c r="B32" i="26"/>
  <c r="G3" i="26"/>
  <c r="C19" i="26"/>
  <c r="H4" i="26"/>
  <c r="I29" i="26"/>
  <c r="E36" i="26"/>
  <c r="J40" i="26"/>
  <c r="E34" i="26"/>
  <c r="E46" i="26"/>
  <c r="E35" i="26"/>
  <c r="Q8" i="2"/>
  <c r="R8" i="2"/>
  <c r="E31" i="26"/>
  <c r="E37" i="26"/>
  <c r="A46" i="26"/>
  <c r="A31" i="26"/>
  <c r="B40" i="26"/>
  <c r="A34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B38" i="26"/>
  <c r="C38" i="26"/>
  <c r="D38" i="26"/>
  <c r="E38" i="26"/>
  <c r="F38" i="26"/>
  <c r="G38" i="26"/>
  <c r="H38" i="26"/>
  <c r="I38" i="26"/>
  <c r="J38" i="26"/>
  <c r="K38" i="26"/>
  <c r="L38" i="26"/>
  <c r="A29" i="26"/>
  <c r="A36" i="26"/>
  <c r="A30" i="26"/>
  <c r="A32" i="26"/>
  <c r="A37" i="26"/>
  <c r="A28" i="26"/>
  <c r="H3" i="26"/>
  <c r="E33" i="26"/>
  <c r="L43" i="26"/>
  <c r="L45" i="26"/>
  <c r="L44" i="26"/>
  <c r="L52" i="26"/>
  <c r="L49" i="26"/>
  <c r="L50" i="26"/>
  <c r="L47" i="26"/>
  <c r="I39" i="32"/>
  <c r="G39" i="32"/>
  <c r="G35" i="32"/>
  <c r="J15" i="2"/>
  <c r="K15" i="2"/>
  <c r="L15" i="2"/>
  <c r="M15" i="2"/>
  <c r="J31" i="26"/>
  <c r="J36" i="26"/>
  <c r="H11" i="26"/>
  <c r="J33" i="26"/>
  <c r="J32" i="26"/>
  <c r="J34" i="26"/>
  <c r="J37" i="26"/>
  <c r="G11" i="26"/>
  <c r="J28" i="26"/>
  <c r="J46" i="26"/>
  <c r="J35" i="26"/>
  <c r="J29" i="26"/>
  <c r="J30" i="26"/>
  <c r="T40" i="26"/>
  <c r="J19" i="26"/>
  <c r="I36" i="26"/>
  <c r="I28" i="26"/>
  <c r="N7" i="32" a="1"/>
  <c r="N7" i="32"/>
  <c r="O7" i="32" a="1"/>
  <c r="O7" i="32"/>
  <c r="Q7" i="32"/>
  <c r="R7" i="32"/>
  <c r="I34" i="26"/>
  <c r="G30" i="26"/>
  <c r="G35" i="26"/>
  <c r="G31" i="26"/>
  <c r="G36" i="26"/>
  <c r="G29" i="26"/>
  <c r="G8" i="26"/>
  <c r="G19" i="26"/>
  <c r="G32" i="26"/>
  <c r="G28" i="26"/>
  <c r="G34" i="26"/>
  <c r="H8" i="26"/>
  <c r="G46" i="26"/>
  <c r="C13" i="32"/>
  <c r="A12" i="32" a="1"/>
  <c r="A12" i="32"/>
  <c r="P12" i="32" a="1"/>
  <c r="P12" i="32"/>
  <c r="B13" i="32"/>
  <c r="N10" i="32" a="1"/>
  <c r="N10" i="32"/>
  <c r="L29" i="26"/>
  <c r="G13" i="26"/>
  <c r="L31" i="26"/>
  <c r="X40" i="26"/>
  <c r="L32" i="26"/>
  <c r="L28" i="26"/>
  <c r="L46" i="26"/>
  <c r="L35" i="26"/>
  <c r="L36" i="26"/>
  <c r="L37" i="26"/>
  <c r="L19" i="26"/>
  <c r="L34" i="26"/>
  <c r="H13" i="26"/>
  <c r="L30" i="26"/>
  <c r="H9" i="26"/>
  <c r="G9" i="26"/>
  <c r="H28" i="26"/>
  <c r="H29" i="26"/>
  <c r="H46" i="26"/>
  <c r="H31" i="26"/>
  <c r="H30" i="26"/>
  <c r="P40" i="26"/>
  <c r="H35" i="26"/>
  <c r="H34" i="26"/>
  <c r="H19" i="26"/>
  <c r="H37" i="26"/>
  <c r="H10" i="26"/>
  <c r="I31" i="26"/>
  <c r="I19" i="26"/>
  <c r="G10" i="26"/>
  <c r="P14" i="2" a="1"/>
  <c r="P14" i="2"/>
  <c r="I15" i="2"/>
  <c r="I43" i="26"/>
  <c r="D31" i="26"/>
  <c r="H40" i="26"/>
  <c r="D35" i="26"/>
  <c r="H5" i="26"/>
  <c r="E19" i="26"/>
  <c r="D30" i="26"/>
  <c r="D28" i="26"/>
  <c r="D34" i="26"/>
  <c r="D29" i="26"/>
  <c r="D32" i="26"/>
  <c r="D46" i="26"/>
  <c r="D36" i="26"/>
  <c r="N8" i="2" a="1"/>
  <c r="N8" i="2"/>
  <c r="N14" i="2"/>
  <c r="G4" i="26"/>
  <c r="B19" i="26"/>
  <c r="D33" i="26"/>
  <c r="H6" i="26"/>
  <c r="O8" i="2" a="1"/>
  <c r="O8" i="2"/>
  <c r="D19" i="26"/>
  <c r="D37" i="26"/>
  <c r="G5" i="26"/>
  <c r="G7" i="26"/>
  <c r="A19" i="26"/>
  <c r="K43" i="26"/>
  <c r="K47" i="26"/>
  <c r="K50" i="26"/>
  <c r="K48" i="26"/>
  <c r="K44" i="26"/>
  <c r="K49" i="26"/>
  <c r="K52" i="26"/>
  <c r="H49" i="26"/>
  <c r="H52" i="26"/>
  <c r="H43" i="26"/>
  <c r="H44" i="26"/>
  <c r="H45" i="26"/>
  <c r="H47" i="26"/>
  <c r="I44" i="26"/>
  <c r="K30" i="26"/>
  <c r="V40" i="26"/>
  <c r="K33" i="26"/>
  <c r="K34" i="26"/>
  <c r="K46" i="26"/>
  <c r="K19" i="26"/>
  <c r="G12" i="26"/>
  <c r="K31" i="26"/>
  <c r="H12" i="26"/>
  <c r="K32" i="26"/>
  <c r="C1" i="26"/>
  <c r="R40" i="26"/>
  <c r="I35" i="26"/>
  <c r="B15" i="2"/>
  <c r="H15" i="2"/>
  <c r="N15" i="2"/>
  <c r="V20" i="2"/>
  <c r="C51" i="26"/>
  <c r="I51" i="26"/>
  <c r="I46" i="26"/>
  <c r="I49" i="26"/>
  <c r="I50" i="26"/>
  <c r="I48" i="26"/>
  <c r="Q11" i="2"/>
  <c r="R11" i="2"/>
  <c r="Q5" i="2"/>
  <c r="R5" i="2"/>
  <c r="Q13" i="2"/>
  <c r="R13" i="2"/>
  <c r="Q6" i="2"/>
  <c r="R6" i="2"/>
  <c r="I52" i="26"/>
  <c r="I47" i="26"/>
  <c r="A47" i="26"/>
  <c r="A44" i="26"/>
  <c r="A49" i="26"/>
  <c r="A43" i="26"/>
  <c r="A45" i="26"/>
  <c r="A50" i="26"/>
  <c r="A51" i="26"/>
  <c r="A52" i="26"/>
  <c r="A48" i="26"/>
  <c r="G50" i="26"/>
  <c r="G52" i="26"/>
  <c r="G44" i="26"/>
  <c r="G47" i="26"/>
  <c r="G51" i="26"/>
  <c r="G43" i="26"/>
  <c r="O13" i="32"/>
  <c r="E51" i="26"/>
  <c r="E49" i="26"/>
  <c r="E1" i="26"/>
  <c r="A14" i="26"/>
  <c r="A15" i="26"/>
  <c r="N13" i="32"/>
  <c r="G1" i="26"/>
  <c r="B14" i="26"/>
  <c r="F1" i="26"/>
  <c r="B15" i="26"/>
  <c r="Q14" i="2"/>
  <c r="V19" i="2"/>
  <c r="V18" i="2"/>
  <c r="V21" i="2"/>
  <c r="V22" i="2"/>
  <c r="C14" i="26"/>
  <c r="C15" i="26"/>
  <c r="I1" i="26"/>
  <c r="H1" i="26"/>
  <c r="D14" i="26"/>
  <c r="D15" i="26"/>
  <c r="J1" i="26"/>
  <c r="K1" i="26"/>
  <c r="M1" i="26"/>
  <c r="E15" i="26"/>
  <c r="L1" i="26"/>
  <c r="E14" i="26"/>
  <c r="N1" i="26"/>
  <c r="F14" i="26"/>
  <c r="F15" i="26"/>
  <c r="O1" i="26"/>
  <c r="G15" i="26"/>
  <c r="G14" i="26"/>
  <c r="P1" i="26"/>
  <c r="Q1" i="26"/>
  <c r="H15" i="26"/>
  <c r="H14" i="26"/>
  <c r="S1" i="26"/>
  <c r="R1" i="26"/>
  <c r="I14" i="26"/>
  <c r="I15" i="26"/>
  <c r="J15" i="26"/>
  <c r="J14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Ricky Zhang</author>
  </authors>
  <commentList>
    <comment ref="A14" authorId="0" shapeId="0" xr:uid="{D9166C0B-7280-4305-9488-5CC3103AB28C}">
      <text>
        <r>
          <rPr>
            <b/>
            <sz val="14"/>
            <color indexed="81"/>
            <rFont val="方正姚体"/>
            <family val="3"/>
            <charset val="134"/>
          </rPr>
          <t>复合增长率</t>
        </r>
      </text>
    </comment>
    <comment ref="P14" authorId="0" shapeId="0" xr:uid="{7AC7EC5F-42AA-4ADC-851C-7169F0946667}">
      <text>
        <r>
          <rPr>
            <b/>
            <sz val="9"/>
            <color indexed="81"/>
            <rFont val="宋体"/>
            <family val="3"/>
            <charset val="134"/>
          </rPr>
          <t>年化复合增长率</t>
        </r>
      </text>
    </comment>
    <comment ref="N15" authorId="0" shapeId="0" xr:uid="{93FA5661-3589-426C-BFE3-46E1F8C47539}">
      <text>
        <r>
          <rPr>
            <b/>
            <sz val="12"/>
            <color indexed="81"/>
            <rFont val="华文仿宋"/>
            <family val="3"/>
            <charset val="134"/>
          </rPr>
          <t>月平均增长率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Ricky Zhang</author>
    <author>张鸿彬</author>
    <author>tc={EAC4CC77-4A05-41A2-9DF8-282E7A984662}</author>
  </authors>
  <commentList>
    <comment ref="A12" authorId="0" shapeId="0" xr:uid="{CE1DA40D-CB2F-44F9-9882-7946FA121D22}">
      <text>
        <r>
          <rPr>
            <b/>
            <sz val="14"/>
            <color indexed="81"/>
            <rFont val="方正姚体"/>
            <family val="3"/>
            <charset val="134"/>
          </rPr>
          <t>复合增长率</t>
        </r>
      </text>
    </comment>
    <comment ref="P12" authorId="0" shapeId="0" xr:uid="{E60C960D-7BCC-4928-BBE6-CDF3916B1F64}">
      <text>
        <r>
          <rPr>
            <b/>
            <sz val="9"/>
            <color indexed="81"/>
            <rFont val="宋体"/>
            <family val="3"/>
            <charset val="134"/>
          </rPr>
          <t>年化复合增长率</t>
        </r>
      </text>
    </comment>
    <comment ref="N13" authorId="0" shapeId="0" xr:uid="{DCF5B4EC-0DFF-4D48-9E9E-0E66FD3877C8}">
      <text>
        <r>
          <rPr>
            <b/>
            <sz val="12"/>
            <color indexed="81"/>
            <rFont val="华文仿宋"/>
            <family val="3"/>
            <charset val="134"/>
          </rPr>
          <t>月平均增长率</t>
        </r>
      </text>
    </comment>
    <comment ref="O13" authorId="1" shapeId="0" xr:uid="{B6E84303-0115-4402-B2D6-58578D660B42}">
      <text>
        <r>
          <rPr>
            <b/>
            <sz val="12"/>
            <color indexed="81"/>
            <rFont val="楷体"/>
            <family val="3"/>
            <charset val="134"/>
          </rPr>
          <t>年化投资回报率%</t>
        </r>
      </text>
    </comment>
    <comment ref="C28" authorId="2" shapeId="0" xr:uid="{EAC4CC77-4A05-41A2-9DF8-282E7A984662}">
      <text>
        <t>[Threaded comment]
Your version of Excel allows you to read this threaded comment; however, any edits to it will get removed if the file is opened in a newer version of Excel. Learn more: https://go.microsoft.com/fwlink/?linkid=870924
Comment:
    推荐更换成QQQ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Ricky Zhang</author>
  </authors>
  <commentList>
    <comment ref="C7" authorId="0" shapeId="0" xr:uid="{73F3CF67-6EBD-4BE9-A1C0-B07B4500BA1A}">
      <text>
        <r>
          <rPr>
            <b/>
            <sz val="9"/>
            <color indexed="81"/>
            <rFont val="宋体"/>
            <family val="3"/>
            <charset val="134"/>
          </rPr>
          <t>参考2000元交易额以上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Ricky Zhang</author>
  </authors>
  <commentList>
    <comment ref="C11" authorId="0" shapeId="0" xr:uid="{81C9322E-408B-44C9-A0D7-42C2CF609037}">
      <text>
        <r>
          <rPr>
            <b/>
            <sz val="9"/>
            <color indexed="81"/>
            <rFont val="宋体"/>
            <family val="3"/>
            <charset val="134"/>
          </rPr>
          <t>参考2000元交易额以上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Ricky Zhang</author>
  </authors>
  <commentList>
    <comment ref="C7" authorId="0" shapeId="0" xr:uid="{A1EB1FEF-68A1-4C2A-AB7A-66AE71C507F8}">
      <text>
        <r>
          <rPr>
            <b/>
            <sz val="9"/>
            <color indexed="81"/>
            <rFont val="宋体"/>
            <family val="3"/>
            <charset val="134"/>
          </rPr>
          <t>参考2000元交易额以上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<sst xmlns="http://schemas.openxmlformats.org/spreadsheetml/2006/main" count="746" uniqueCount="190">
  <si>
    <t>模板提示</t>
  </si>
  <si>
    <t>有无在“支出趋势”摘要表和“每月支出明细”之间跳转的简单方法？</t>
  </si>
  <si>
    <t>如何将新的支出类型添加到“支出摘要”或新的每月支出？</t>
  </si>
  <si>
    <t>图表下方的“支出摘要”和每月支出详细信息是 Excel 表格。若要向任何 Excel 表格添加新行，请执行下列操作之一：</t>
  </si>
  <si>
    <t>在支出适用的月工作表中添加每种支出类型的支出金额。</t>
  </si>
  <si>
    <t xml:space="preserve">例如:1 月到 6 月以及 12 月中有“支出 1”。 </t>
  </si>
  <si>
    <t>提示</t>
  </si>
  <si>
    <t>趋势</t>
  </si>
  <si>
    <t>1 月支出</t>
  </si>
  <si>
    <t>日期</t>
  </si>
  <si>
    <t>PO#</t>
  </si>
  <si>
    <t>A-12345</t>
  </si>
  <si>
    <t>A-12346</t>
  </si>
  <si>
    <t>金额</t>
  </si>
  <si>
    <t>摘要</t>
  </si>
  <si>
    <t>类别</t>
  </si>
  <si>
    <t>描述</t>
  </si>
  <si>
    <t>补给</t>
  </si>
  <si>
    <t>2 月支出</t>
  </si>
  <si>
    <t>3 月支出</t>
  </si>
  <si>
    <t>4 月支出</t>
  </si>
  <si>
    <t>5 月支出</t>
  </si>
  <si>
    <t>6 月支出</t>
  </si>
  <si>
    <t>7 月支出</t>
  </si>
  <si>
    <t>11 月支出</t>
  </si>
  <si>
    <t>12 月支出</t>
  </si>
  <si>
    <r>
      <t xml:space="preserve">若要快速导航到特定月份的支出，请单击图表上方的相关导航链接，如 </t>
    </r>
    <r>
      <rPr>
        <b/>
        <sz val="11"/>
        <color theme="1"/>
        <rFont val="Microsoft YaHei UI"/>
        <family val="2"/>
        <charset val="134"/>
      </rPr>
      <t>B2</t>
    </r>
    <r>
      <rPr>
        <sz val="11"/>
        <color theme="1"/>
        <rFont val="Microsoft YaHei UI"/>
        <family val="2"/>
        <charset val="134"/>
      </rPr>
      <t xml:space="preserve"> 中的 </t>
    </r>
    <r>
      <rPr>
        <b/>
        <sz val="11"/>
        <color theme="1"/>
        <rFont val="Microsoft YaHei UI"/>
        <family val="2"/>
        <charset val="134"/>
      </rPr>
      <t>1 月</t>
    </r>
    <r>
      <rPr>
        <sz val="11"/>
        <color theme="1"/>
        <rFont val="Microsoft YaHei UI"/>
        <family val="2"/>
        <charset val="134"/>
      </rPr>
      <t xml:space="preserve">导航链接。若要返回“支出趋势”工作表，请单击 </t>
    </r>
    <r>
      <rPr>
        <b/>
        <sz val="11"/>
        <color theme="1"/>
        <rFont val="Microsoft YaHei UI"/>
        <family val="2"/>
        <charset val="134"/>
      </rPr>
      <t>D1</t>
    </r>
    <r>
      <rPr>
        <sz val="11"/>
        <color theme="1"/>
        <rFont val="Microsoft YaHei UI"/>
        <family val="2"/>
        <charset val="134"/>
      </rPr>
      <t xml:space="preserve"> 中的</t>
    </r>
    <r>
      <rPr>
        <b/>
        <sz val="11"/>
        <color theme="1"/>
        <rFont val="Microsoft YaHei UI"/>
        <family val="2"/>
        <charset val="134"/>
      </rPr>
      <t>摘要</t>
    </r>
    <r>
      <rPr>
        <sz val="11"/>
        <color theme="1"/>
        <rFont val="Microsoft YaHei UI"/>
        <family val="2"/>
        <charset val="134"/>
      </rPr>
      <t xml:space="preserve">导航链接。 </t>
    </r>
  </si>
  <si>
    <r>
      <t xml:space="preserve">若要返回此提示工作表，请在摘要工作表中选择 </t>
    </r>
    <r>
      <rPr>
        <b/>
        <sz val="11"/>
        <color theme="1"/>
        <rFont val="Microsoft YaHei UI"/>
        <family val="2"/>
        <charset val="134"/>
      </rPr>
      <t>N2</t>
    </r>
    <r>
      <rPr>
        <sz val="11"/>
        <color theme="1"/>
        <rFont val="Microsoft YaHei UI"/>
        <family val="2"/>
        <charset val="134"/>
      </rPr>
      <t xml:space="preserve">。从所有月份工作表中选择 </t>
    </r>
    <r>
      <rPr>
        <b/>
        <sz val="11"/>
        <color theme="1"/>
        <rFont val="Microsoft YaHei UI"/>
        <family val="2"/>
        <charset val="134"/>
      </rPr>
      <t>E1</t>
    </r>
    <r>
      <rPr>
        <sz val="11"/>
        <color theme="1"/>
        <rFont val="Microsoft YaHei UI"/>
        <family val="2"/>
        <charset val="134"/>
      </rPr>
      <t>。</t>
    </r>
  </si>
  <si>
    <t>汇总</t>
  </si>
  <si>
    <r>
      <t>在</t>
    </r>
    <r>
      <rPr>
        <b/>
        <sz val="11"/>
        <color theme="1"/>
        <rFont val="Microsoft YaHei UI"/>
        <family val="2"/>
        <charset val="134"/>
      </rPr>
      <t>摘要</t>
    </r>
    <r>
      <rPr>
        <sz val="11"/>
        <color theme="1"/>
        <rFont val="Microsoft YaHei UI"/>
        <family val="2"/>
        <charset val="134"/>
      </rPr>
      <t>工作表中</t>
    </r>
    <r>
      <rPr>
        <b/>
        <sz val="11"/>
        <color theme="1"/>
        <rFont val="Microsoft YaHei UI"/>
        <family val="2"/>
        <charset val="134"/>
      </rPr>
      <t>“支出摘要”</t>
    </r>
    <r>
      <rPr>
        <sz val="11"/>
        <color theme="1"/>
        <rFont val="Microsoft YaHei UI"/>
        <family val="2"/>
        <charset val="134"/>
      </rPr>
      <t>表的“</t>
    </r>
    <r>
      <rPr>
        <b/>
        <sz val="11"/>
        <color theme="1"/>
        <rFont val="Microsoft YaHei UI"/>
        <family val="2"/>
        <charset val="134"/>
      </rPr>
      <t>支出</t>
    </r>
    <r>
      <rPr>
        <sz val="11"/>
        <color theme="1"/>
        <rFont val="Microsoft YaHei UI"/>
        <family val="2"/>
        <charset val="134"/>
      </rPr>
      <t>”列输入支出。</t>
    </r>
    <phoneticPr fontId="10" type="noConversion"/>
  </si>
  <si>
    <t>提示</t>
    <phoneticPr fontId="10" type="noConversion"/>
  </si>
  <si>
    <t>东方财富</t>
  </si>
  <si>
    <t>东方财富</t>
    <phoneticPr fontId="10" type="noConversion"/>
  </si>
  <si>
    <t>招商银行</t>
  </si>
  <si>
    <t>招商银行</t>
    <phoneticPr fontId="10" type="noConversion"/>
  </si>
  <si>
    <t>中国银行</t>
  </si>
  <si>
    <t>中国银行</t>
    <phoneticPr fontId="10" type="noConversion"/>
  </si>
  <si>
    <t>东莞农村商业银行</t>
  </si>
  <si>
    <t>东莞农村商业银行</t>
    <phoneticPr fontId="10" type="noConversion"/>
  </si>
  <si>
    <t>长桥证券</t>
  </si>
  <si>
    <t>长桥证券</t>
    <phoneticPr fontId="10" type="noConversion"/>
  </si>
  <si>
    <t>币安Biance</t>
  </si>
  <si>
    <t>币安Biance</t>
    <phoneticPr fontId="10" type="noConversion"/>
  </si>
  <si>
    <t>中银香港</t>
  </si>
  <si>
    <t>中银香港</t>
    <phoneticPr fontId="10" type="noConversion"/>
  </si>
  <si>
    <t>8 月资产统计</t>
    <phoneticPr fontId="10" type="noConversion"/>
  </si>
  <si>
    <t>特殊币种</t>
    <phoneticPr fontId="10" type="noConversion"/>
  </si>
  <si>
    <t>汇率（特殊-CNY）</t>
    <phoneticPr fontId="10" type="noConversion"/>
  </si>
  <si>
    <t>9月资产统计</t>
    <phoneticPr fontId="10" type="noConversion"/>
  </si>
  <si>
    <t>占比</t>
    <phoneticPr fontId="10" type="noConversion"/>
  </si>
  <si>
    <t>微信</t>
  </si>
  <si>
    <t>微信</t>
    <phoneticPr fontId="10" type="noConversion"/>
  </si>
  <si>
    <t>支付宝</t>
  </si>
  <si>
    <t>支付宝</t>
    <phoneticPr fontId="10" type="noConversion"/>
  </si>
  <si>
    <t>意见</t>
    <phoneticPr fontId="10" type="noConversion"/>
  </si>
  <si>
    <t>判定下限</t>
    <phoneticPr fontId="10" type="noConversion"/>
  </si>
  <si>
    <t>判定上限</t>
    <phoneticPr fontId="10" type="noConversion"/>
  </si>
  <si>
    <t>差额小计</t>
    <phoneticPr fontId="10" type="noConversion"/>
  </si>
  <si>
    <t>10月资产统计</t>
    <phoneticPr fontId="10" type="noConversion"/>
  </si>
  <si>
    <t>PO#</t>
    <phoneticPr fontId="18" type="noConversion"/>
  </si>
  <si>
    <t>资产趋势</t>
    <phoneticPr fontId="10" type="noConversion"/>
  </si>
  <si>
    <t>资产归属</t>
    <phoneticPr fontId="10" type="noConversion"/>
  </si>
  <si>
    <r>
      <rPr>
        <sz val="11"/>
        <color theme="10"/>
        <rFont val="Microsoft YaHei UI"/>
        <family val="2"/>
        <charset val="134"/>
        <scheme val="minor"/>
      </rPr>
      <t>摘要</t>
    </r>
  </si>
  <si>
    <t>Kutools: Intermediate data of the marimekko chart</t>
    <phoneticPr fontId="18" type="noConversion"/>
  </si>
  <si>
    <t>Kutools: Intermediate data of the multi-layer column chart</t>
  </si>
  <si>
    <t>注：该组数据是创建显示百分比堆积图时所生成的，请勿随意修改删除，以免引起显示百分比堆积图错误</t>
  </si>
  <si>
    <t>PO#</t>
    <phoneticPr fontId="10" type="noConversion"/>
  </si>
  <si>
    <t>类别</t>
    <phoneticPr fontId="10" type="noConversion"/>
  </si>
  <si>
    <t>环比增长</t>
    <phoneticPr fontId="10" type="noConversion"/>
  </si>
  <si>
    <t>金额</t>
    <phoneticPr fontId="10" type="noConversion"/>
  </si>
  <si>
    <r>
      <t>环比增长</t>
    </r>
    <r>
      <rPr>
        <b/>
        <sz val="18"/>
        <color rgb="FFFA7D00"/>
        <rFont val="Wingdings 2"/>
        <family val="1"/>
        <charset val="2"/>
      </rPr>
      <t>C</t>
    </r>
    <phoneticPr fontId="10" type="noConversion"/>
  </si>
  <si>
    <r>
      <rPr>
        <sz val="11"/>
        <color theme="10"/>
        <rFont val="Microsoft YaHei UI"/>
        <family val="2"/>
        <charset val="134"/>
        <scheme val="minor"/>
      </rPr>
      <t>摘要</t>
    </r>
    <phoneticPr fontId="10" type="noConversion"/>
  </si>
  <si>
    <t>需将下方日期手动更新</t>
    <phoneticPr fontId="10" type="noConversion"/>
  </si>
  <si>
    <t>7月</t>
    <phoneticPr fontId="10" type="noConversion"/>
  </si>
  <si>
    <t>8月</t>
    <phoneticPr fontId="10" type="noConversion"/>
  </si>
  <si>
    <t>9月</t>
    <phoneticPr fontId="10" type="noConversion"/>
  </si>
  <si>
    <t>10月</t>
    <phoneticPr fontId="10" type="noConversion"/>
  </si>
  <si>
    <t>11月</t>
    <phoneticPr fontId="10" type="noConversion"/>
  </si>
  <si>
    <t>12月</t>
    <phoneticPr fontId="10" type="noConversion"/>
  </si>
  <si>
    <t>1月</t>
    <phoneticPr fontId="10" type="noConversion"/>
  </si>
  <si>
    <t>2月</t>
    <phoneticPr fontId="10" type="noConversion"/>
  </si>
  <si>
    <t>3月</t>
    <phoneticPr fontId="10" type="noConversion"/>
  </si>
  <si>
    <t>4月</t>
    <phoneticPr fontId="10" type="noConversion"/>
  </si>
  <si>
    <t>5月</t>
    <phoneticPr fontId="10" type="noConversion"/>
  </si>
  <si>
    <t>6月</t>
    <phoneticPr fontId="10" type="noConversion"/>
  </si>
  <si>
    <t>股票</t>
  </si>
  <si>
    <t>比特币</t>
  </si>
  <si>
    <t>比特币</t>
    <phoneticPr fontId="10" type="noConversion"/>
  </si>
  <si>
    <t>基金</t>
  </si>
  <si>
    <t>定期等安全投资</t>
  </si>
  <si>
    <t>紧急预备金</t>
    <phoneticPr fontId="10" type="noConversion"/>
  </si>
  <si>
    <t>分类</t>
    <phoneticPr fontId="10" type="noConversion"/>
  </si>
  <si>
    <t>分类</t>
    <phoneticPr fontId="18" type="noConversion"/>
  </si>
  <si>
    <t>活期</t>
  </si>
  <si>
    <t>活期</t>
    <phoneticPr fontId="18" type="noConversion"/>
  </si>
  <si>
    <t>每月平均</t>
    <phoneticPr fontId="18" type="noConversion"/>
  </si>
  <si>
    <t>每月消费</t>
    <phoneticPr fontId="18" type="noConversion"/>
  </si>
  <si>
    <t>每年消费</t>
    <phoneticPr fontId="18" type="noConversion"/>
  </si>
  <si>
    <t>被动收入 年化收益率</t>
    <phoneticPr fontId="18" type="noConversion"/>
  </si>
  <si>
    <t>被动资产</t>
    <phoneticPr fontId="18" type="noConversion"/>
  </si>
  <si>
    <t>切换成预算</t>
    <phoneticPr fontId="18" type="noConversion"/>
  </si>
  <si>
    <t>公司</t>
  </si>
  <si>
    <t>股份</t>
  </si>
  <si>
    <t>变化（百分比）</t>
  </si>
  <si>
    <t>账面价值</t>
    <phoneticPr fontId="18" type="noConversion"/>
  </si>
  <si>
    <t>当前价格</t>
    <phoneticPr fontId="18" type="noConversion"/>
  </si>
  <si>
    <t>成本价</t>
    <phoneticPr fontId="18" type="noConversion"/>
  </si>
  <si>
    <t>持仓成本</t>
    <phoneticPr fontId="18" type="noConversion"/>
  </si>
  <si>
    <t>当前比例</t>
    <phoneticPr fontId="18" type="noConversion"/>
  </si>
  <si>
    <t>推荐比例</t>
    <phoneticPr fontId="18" type="noConversion"/>
  </si>
  <si>
    <t>证券代码</t>
    <phoneticPr fontId="42" type="noConversion"/>
  </si>
  <si>
    <t>000216</t>
    <phoneticPr fontId="18" type="noConversion"/>
  </si>
  <si>
    <t>110017</t>
    <phoneticPr fontId="38" type="noConversion"/>
  </si>
  <si>
    <t>270042</t>
    <phoneticPr fontId="18" type="noConversion"/>
  </si>
  <si>
    <t>007280</t>
    <phoneticPr fontId="18" type="noConversion"/>
  </si>
  <si>
    <t>007721</t>
    <phoneticPr fontId="18" type="noConversion"/>
  </si>
  <si>
    <t>000390</t>
    <phoneticPr fontId="18" type="noConversion"/>
  </si>
  <si>
    <t>096001</t>
    <phoneticPr fontId="18" type="noConversion"/>
  </si>
  <si>
    <t>基金代码</t>
    <phoneticPr fontId="18" type="noConversion"/>
  </si>
  <si>
    <t>基金简称</t>
    <phoneticPr fontId="18" type="noConversion"/>
  </si>
  <si>
    <t>持有天数</t>
    <phoneticPr fontId="18" type="noConversion"/>
  </si>
  <si>
    <t>持有起始日期</t>
    <phoneticPr fontId="18" type="noConversion"/>
  </si>
  <si>
    <t>投资分类</t>
    <phoneticPr fontId="10" type="noConversion"/>
  </si>
  <si>
    <r>
      <rPr>
        <sz val="11"/>
        <color theme="1"/>
        <rFont val="Calibri"/>
        <family val="2"/>
        <charset val="134"/>
      </rPr>
      <t>%</t>
    </r>
    <r>
      <rPr>
        <sz val="11"/>
        <color theme="1"/>
        <rFont val="宋体"/>
        <family val="2"/>
        <charset val="134"/>
      </rPr>
      <t>基金</t>
    </r>
    <r>
      <rPr>
        <sz val="11"/>
        <color theme="1"/>
        <rFont val="Calibri"/>
        <family val="2"/>
        <charset val="134"/>
        <scheme val="minor"/>
      </rPr>
      <t>N</t>
    </r>
    <r>
      <rPr>
        <sz val="11"/>
        <color theme="1"/>
        <rFont val="宋体"/>
        <family val="2"/>
        <charset val="134"/>
      </rPr>
      <t>日净值增长率</t>
    </r>
    <phoneticPr fontId="18" type="noConversion"/>
  </si>
  <si>
    <t>代码</t>
    <phoneticPr fontId="42" type="noConversion"/>
  </si>
  <si>
    <t>公司</t>
    <phoneticPr fontId="18" type="noConversion"/>
  </si>
  <si>
    <t>00883</t>
    <phoneticPr fontId="18" type="noConversion"/>
  </si>
  <si>
    <t>DGRO</t>
    <phoneticPr fontId="18" type="noConversion"/>
  </si>
  <si>
    <t>注：该组数据是创建按占比堆积图时所生成的，请勿随意修改删除，以免引起占比堆积图错误</t>
  </si>
  <si>
    <t>注：该组数据是创建差值箭头图时所生成的，请勿随意修改删除，以免引起差值箭头图错误</t>
  </si>
  <si>
    <r>
      <rPr>
        <sz val="11"/>
        <color rgb="FFFF0000"/>
        <rFont val="宋体"/>
        <family val="3"/>
        <charset val="134"/>
      </rPr>
      <t>每2天</t>
    </r>
    <r>
      <rPr>
        <sz val="11"/>
        <color theme="1"/>
        <rFont val="宋体"/>
        <family val="2"/>
        <charset val="134"/>
      </rPr>
      <t>定投</t>
    </r>
    <phoneticPr fontId="18" type="noConversion"/>
  </si>
  <si>
    <t>SPY</t>
    <phoneticPr fontId="18" type="noConversion"/>
  </si>
  <si>
    <t>SCHD</t>
    <phoneticPr fontId="18" type="noConversion"/>
  </si>
  <si>
    <t xml:space="preserve"> </t>
    <phoneticPr fontId="18" type="noConversion"/>
  </si>
  <si>
    <t>投资收益率趋势</t>
    <phoneticPr fontId="10" type="noConversion"/>
  </si>
  <si>
    <t>东方财富（A股）</t>
  </si>
  <si>
    <t>东方财富（A股）</t>
    <phoneticPr fontId="10" type="noConversion"/>
  </si>
  <si>
    <t>长桥证券（美港股）</t>
  </si>
  <si>
    <t>长桥证券（美港股）</t>
    <phoneticPr fontId="18" type="noConversion"/>
  </si>
  <si>
    <t>基金（招行）</t>
  </si>
  <si>
    <t>基金（招行）</t>
    <phoneticPr fontId="10" type="noConversion"/>
  </si>
  <si>
    <t>填写收益</t>
    <phoneticPr fontId="18" type="noConversion"/>
  </si>
  <si>
    <t>定期</t>
    <phoneticPr fontId="18" type="noConversion"/>
  </si>
  <si>
    <t>QQQ</t>
    <phoneticPr fontId="18" type="noConversion"/>
  </si>
  <si>
    <t>600060</t>
    <phoneticPr fontId="18" type="noConversion"/>
  </si>
  <si>
    <t>600941</t>
    <phoneticPr fontId="18" type="noConversion"/>
  </si>
  <si>
    <t>300770</t>
    <phoneticPr fontId="18" type="noConversion"/>
  </si>
  <si>
    <t>买入理由</t>
    <phoneticPr fontId="18" type="noConversion"/>
  </si>
  <si>
    <t>1.营业收入：
1）IPTV业务维持8.3亿左右规模
2）互联网视听业务维持5%增长，&gt;6.33亿
2.分红回报和管理层决策
3）股利支付率持续&gt;70%，股息率&gt;4.5%
3.政策支持
4）到27年年底免税政策25%免税
4.市场地位:
7个牌照持有者之一（电视内容管控商）</t>
    <phoneticPr fontId="18" type="noConversion"/>
  </si>
  <si>
    <t>使用首页显示</t>
    <phoneticPr fontId="10" type="noConversion"/>
  </si>
  <si>
    <r>
      <t xml:space="preserve">内在价值计算出是40元
安全边际：
</t>
    </r>
    <r>
      <rPr>
        <strike/>
        <sz val="11"/>
        <rFont val="Microsoft YaHei UI"/>
        <family val="2"/>
        <charset val="134"/>
      </rPr>
      <t>20%→32元→PE11.7→2w投入</t>
    </r>
    <r>
      <rPr>
        <sz val="11"/>
        <rFont val="Microsoft YaHei UI"/>
        <family val="2"/>
        <charset val="134"/>
      </rPr>
      <t xml:space="preserve">
30%→</t>
    </r>
    <r>
      <rPr>
        <b/>
        <sz val="11"/>
        <color rgb="FFFF0000"/>
        <rFont val="Microsoft YaHei UI"/>
        <family val="2"/>
        <charset val="134"/>
      </rPr>
      <t>28元→PE10.2→3w投入</t>
    </r>
    <r>
      <rPr>
        <sz val="11"/>
        <rFont val="Microsoft YaHei UI"/>
        <family val="2"/>
        <charset val="134"/>
      </rPr>
      <t xml:space="preserve">
40%→24元→PE8.8→4w投入
考虑2028年税收政策取消后
内在价值仅剩下 28元，可基于此重新估算</t>
    </r>
    <phoneticPr fontId="18" type="noConversion"/>
  </si>
  <si>
    <t>全年统计</t>
    <phoneticPr fontId="10" type="noConversion"/>
  </si>
  <si>
    <t>预测年份</t>
    <phoneticPr fontId="38" type="noConversion"/>
  </si>
  <si>
    <t>预测年末资产（元）</t>
    <phoneticPr fontId="38" type="noConversion"/>
  </si>
  <si>
    <t>列4</t>
  </si>
  <si>
    <t>列6</t>
  </si>
  <si>
    <t>列7</t>
  </si>
  <si>
    <t>列1</t>
    <phoneticPr fontId="18" type="noConversion"/>
  </si>
  <si>
    <t>XX年自由现金流倍数</t>
    <phoneticPr fontId="18" type="noConversion"/>
  </si>
  <si>
    <t>净资产收益率ROE</t>
    <phoneticPr fontId="18" type="noConversion"/>
  </si>
  <si>
    <t>销售净利率</t>
    <phoneticPr fontId="18" type="noConversion"/>
  </si>
  <si>
    <t>XX年固定资产/总资产</t>
    <phoneticPr fontId="18" type="noConversion"/>
  </si>
  <si>
    <t>销售毛利率</t>
    <phoneticPr fontId="18" type="noConversion"/>
  </si>
  <si>
    <t>指标名称</t>
    <phoneticPr fontId="18" type="noConversion"/>
  </si>
  <si>
    <t>连续3年大于10%</t>
    <phoneticPr fontId="18" type="noConversion"/>
  </si>
  <si>
    <t>连续3年低于20%，属于是轻资产</t>
    <phoneticPr fontId="18" type="noConversion"/>
  </si>
  <si>
    <t>筛选&gt;50%</t>
    <phoneticPr fontId="18" type="noConversion"/>
  </si>
  <si>
    <t>筛选&gt;10%</t>
    <phoneticPr fontId="18" type="noConversion"/>
  </si>
  <si>
    <t>筛选轻资产企业</t>
    <phoneticPr fontId="18" type="noConversion"/>
  </si>
  <si>
    <t>推荐&gt;1</t>
    <phoneticPr fontId="18" type="noConversion"/>
  </si>
  <si>
    <t>经营活动产生的现金流量净额/净利润</t>
    <phoneticPr fontId="18" type="noConversion"/>
  </si>
  <si>
    <t>资本支出TTM/营业总收入</t>
    <phoneticPr fontId="18" type="noConversion"/>
  </si>
  <si>
    <t>推荐0`50</t>
    <phoneticPr fontId="18" type="noConversion"/>
  </si>
  <si>
    <t>资本支出/折旧摊销</t>
    <phoneticPr fontId="18" type="noConversion"/>
  </si>
  <si>
    <t>可选项</t>
    <phoneticPr fontId="18" type="noConversion"/>
  </si>
  <si>
    <t>&gt;100%，则说明在扩张，可能可以搭配ROE</t>
    <phoneticPr fontId="18" type="noConversion"/>
  </si>
  <si>
    <t>可选性</t>
    <phoneticPr fontId="18" type="noConversion"/>
  </si>
  <si>
    <t>自由现金流倍数，可评估股价高低
市值 = 股价 × 总股本</t>
    <phoneticPr fontId="18" type="noConversion"/>
  </si>
  <si>
    <t>适用于评估负债</t>
    <phoneticPr fontId="18" type="noConversion"/>
  </si>
  <si>
    <t>加权净资产收益率</t>
    <phoneticPr fontId="18" type="noConversion"/>
  </si>
  <si>
    <t>&gt;10%</t>
    <phoneticPr fontId="18" type="noConversion"/>
  </si>
  <si>
    <t>1/(有形资产/带息债务)</t>
    <phoneticPr fontId="18" type="noConversion"/>
  </si>
  <si>
    <t>低于15%</t>
    <phoneticPr fontId="18" type="noConversion"/>
  </si>
  <si>
    <t>严苛指标</t>
    <phoneticPr fontId="18" type="noConversion"/>
  </si>
  <si>
    <t>放宽指标</t>
    <phoneticPr fontId="18" type="noConversion"/>
  </si>
  <si>
    <t>EV/FCFF（企业价值/企业自由现金流）</t>
    <phoneticPr fontId="18" type="noConversion"/>
  </si>
  <si>
    <t xml:space="preserve">EV = 市 值 + 总 负 债 − 货 币 资 金
其中：
选择 “企业价值EV2（剔除货币资金）”
选择“企业自由现金流FCFF（反推法）”
</t>
    <phoneticPr fontId="18" type="noConversion"/>
  </si>
  <si>
    <t>15&gt;默认&gt;0</t>
    <phoneticPr fontId="18" type="noConversion"/>
  </si>
  <si>
    <t>今年18&gt;  &gt;0</t>
    <phoneticPr fontId="18" type="noConversion"/>
  </si>
  <si>
    <t>总市值/股权自由现金流FCFE（正推法）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</si>
</sst>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7" formatCode="&quot;¥&quot;#,##0.00;&quot;¥&quot;\-#,##0.00"/>
    <numFmt numFmtId="8" formatCode="&quot;¥&quot;#,##0.00;[Red]&quot;¥&quot;\-#,##0.00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m/d/yy;@"/>
    <numFmt numFmtId="177" formatCode="#,##0.00_ "/>
    <numFmt numFmtId="178" formatCode="[$-F800]dddd\,\ mmmm\ dd\,\ yyyy"/>
    <numFmt numFmtId="179" formatCode="_ [$¥-804]* #,##0.00_ ;_ [$¥-804]* \-#,##0.00_ ;_ [$¥-804]* &quot;-&quot;??_ ;_ @_ "/>
    <numFmt numFmtId="180" formatCode="_-\$* #,##0.00_ ;_-\$* \-#,##0.00\ ;_-\$* &quot;-&quot;??_ ;_-@_ "/>
    <numFmt numFmtId="181" formatCode="_-&quot;US$&quot;* #,##0.00_ ;_-&quot;US$&quot;* \-#,##0.00\ ;_-&quot;US$&quot;* &quot;-&quot;??_ ;_-@_ "/>
    <numFmt numFmtId="182" formatCode="_ [$HKD]\ * #,##0.00_ ;_ [$HKD]\ * \-#,##0.00_ ;_ [$HKD]\ * &quot;-&quot;??_ ;_ @_ "/>
    <numFmt numFmtId="183" formatCode="&quot;¥&quot;#,##0.00_);[Red]\(&quot;¥&quot;#,##0.00\)"/>
    <numFmt numFmtId="184" formatCode="0.0%"/>
    <numFmt numFmtId="185" formatCode="#,##0.0000"/>
    <numFmt numFmtId="186" formatCode="_(* #,##0_);_(* \(#,##0\);_(* &quot;-&quot;??_);_(@_)"/>
    <numFmt numFmtId="187" formatCode="###,##0"/>
    <numFmt numFmtId="188" formatCode="0.00_);[Red]\(0.00\)"/>
    <numFmt numFmtId="189" formatCode="0_);[Red]\(0\)"/>
  </numFmts>
  <fonts count="54">
    <font>
      <sz val="11"/>
      <color theme="1"/>
      <name val="Calibri"/>
      <family val="2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Calibri"/>
      <family val="2"/>
      <scheme val="minor"/>
    </font>
    <font>
      <sz val="22.5"/>
      <color theme="1" tint="0.34998626667073579"/>
      <name val="Century Gothic"/>
      <family val="2"/>
      <scheme val="major"/>
    </font>
    <font>
      <sz val="11"/>
      <color theme="0"/>
      <name val="Century Gothic"/>
      <family val="2"/>
      <scheme val="major"/>
    </font>
    <font>
      <sz val="11"/>
      <color theme="10"/>
      <name val="Calibri"/>
      <family val="2"/>
      <scheme val="minor"/>
    </font>
    <font>
      <sz val="11"/>
      <color theme="11"/>
      <name val="Calibri"/>
      <family val="2"/>
      <scheme val="minor"/>
    </font>
    <font>
      <b/>
      <sz val="11"/>
      <color theme="3"/>
      <name val="Century Gothic"/>
      <family val="2"/>
      <scheme val="major"/>
    </font>
    <font>
      <b/>
      <sz val="11"/>
      <color theme="1"/>
      <name val="Century Gothic"/>
      <family val="2"/>
      <scheme val="maj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22.5"/>
      <color theme="1" tint="0.34998626667073579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b/>
      <sz val="11"/>
      <color theme="3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sz val="11"/>
      <color theme="10"/>
      <name val="Microsoft YaHei UI"/>
      <family val="2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</font>
    <font>
      <sz val="8"/>
      <color rgb="FF383A42"/>
      <name val="Consolas"/>
      <family val="3"/>
    </font>
    <font>
      <sz val="11"/>
      <color theme="10"/>
      <name val="Microsoft YaHei UI"/>
      <family val="2"/>
      <charset val="134"/>
      <scheme val="minor"/>
    </font>
    <font>
      <sz val="12"/>
      <color theme="1"/>
      <name val="宋体"/>
      <family val="2"/>
      <charset val="134"/>
    </font>
    <font>
      <b/>
      <sz val="11"/>
      <color theme="1"/>
      <name val="Calibri"/>
      <family val="2"/>
    </font>
    <font>
      <b/>
      <sz val="11"/>
      <color theme="1"/>
      <name val="抖音美好体"/>
      <family val="3"/>
      <charset val="134"/>
    </font>
    <font>
      <b/>
      <sz val="11"/>
      <color rgb="FFFF0000"/>
      <name val="Microsoft YaHei UI"/>
      <family val="2"/>
      <charset val="134"/>
    </font>
    <font>
      <b/>
      <sz val="11"/>
      <color rgb="FFFA7D00"/>
      <name val="等线"/>
      <family val="2"/>
      <charset val="134"/>
      <scheme val="minor"/>
    </font>
    <font>
      <b/>
      <i/>
      <sz val="22"/>
      <color rgb="FFFA7D00"/>
      <name val="等线"/>
      <family val="3"/>
      <charset val="134"/>
    </font>
    <font>
      <b/>
      <sz val="14"/>
      <color indexed="81"/>
      <name val="方正姚体"/>
      <family val="3"/>
      <charset val="134"/>
    </font>
    <font>
      <b/>
      <i/>
      <sz val="18"/>
      <color rgb="FFFA7D00"/>
      <name val="等线"/>
      <family val="3"/>
      <charset val="134"/>
    </font>
    <font>
      <b/>
      <sz val="18"/>
      <color rgb="FFFA7D00"/>
      <name val="Wingdings 2"/>
      <family val="1"/>
      <charset val="2"/>
    </font>
    <font>
      <b/>
      <sz val="16"/>
      <color theme="1" tint="0.34998626667073579"/>
      <name val="Microsoft YaHei UI"/>
      <family val="2"/>
      <charset val="134"/>
    </font>
    <font>
      <b/>
      <sz val="12"/>
      <color indexed="81"/>
      <name val="华文仿宋"/>
      <family val="3"/>
      <charset val="134"/>
    </font>
    <font>
      <b/>
      <i/>
      <sz val="22"/>
      <color rgb="FFFF0000"/>
      <name val="等线"/>
      <family val="3"/>
      <charset val="134"/>
    </font>
    <font>
      <sz val="11"/>
      <name val="Microsoft YaHei UI"/>
      <family val="2"/>
      <charset val="134"/>
    </font>
    <font>
      <i/>
      <sz val="16"/>
      <color theme="7" tint="-0.249977111117893"/>
      <name val="Microsoft YaHei UI"/>
      <family val="2"/>
      <charset val="134"/>
    </font>
    <font>
      <sz val="14"/>
      <color rgb="FFFF0000"/>
      <name val="Microsoft YaHei UI"/>
      <family val="2"/>
      <charset val="134"/>
    </font>
    <font>
      <sz val="22.5"/>
      <color rgb="FFFF0000"/>
      <name val="Microsoft YaHei UI"/>
      <family val="2"/>
      <charset val="134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  <charset val="134"/>
      <scheme val="minor"/>
    </font>
    <font>
      <sz val="9"/>
      <name val="Arial"/>
      <family val="3"/>
      <charset val="134"/>
      <scheme val="minor"/>
    </font>
    <font>
      <b/>
      <sz val="12"/>
      <name val="Microsoft YaHei UI"/>
      <family val="2"/>
      <charset val="134"/>
    </font>
    <font>
      <b/>
      <sz val="14"/>
      <name val="Microsoft YaHei UI"/>
      <family val="2"/>
      <charset val="134"/>
    </font>
    <font>
      <sz val="12"/>
      <color theme="1"/>
      <name val="Calibri"/>
      <family val="2"/>
      <scheme val="minor"/>
    </font>
    <font>
      <sz val="12"/>
      <color theme="1"/>
      <name val="Microsoft YaHei UI"/>
      <family val="2"/>
      <charset val="134"/>
    </font>
    <font>
      <sz val="14"/>
      <color theme="1"/>
      <name val="Calibri"/>
      <family val="2"/>
    </font>
    <font>
      <sz val="11"/>
      <color theme="1"/>
      <name val="Calibri"/>
      <family val="2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2"/>
      <color indexed="81"/>
      <name val="楷体"/>
      <family val="3"/>
      <charset val="134"/>
    </font>
    <font>
      <strike/>
      <sz val="11"/>
      <name val="Microsoft YaHei UI"/>
      <family val="2"/>
      <charset val="134"/>
    </font>
    <font>
      <b/>
      <sz val="12"/>
      <color theme="1"/>
      <name val="微软雅黑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D66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lightVertical">
        <fgColor auto="1"/>
        <bgColor auto="1"/>
      </patternFill>
    </fill>
  </fills>
  <borders count="34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 style="thick">
        <color theme="9" tint="-0.24994659260841701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ck">
        <color theme="9" tint="-0.24994659260841701"/>
      </bottom>
      <diagonal/>
    </border>
    <border>
      <left style="thin">
        <color theme="9" tint="-0.499984740745262"/>
      </left>
      <right/>
      <top/>
      <bottom style="thick">
        <color theme="9" tint="-0.2499465926084170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indexed="64"/>
      </bottom>
      <diagonal/>
    </border>
    <border>
      <left style="thin">
        <color theme="9" tint="-0.499984740745262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3" borderId="2" applyNumberFormat="0" applyProtection="0">
      <alignment horizontal="center" vertical="center"/>
    </xf>
    <xf numFmtId="0" fontId="8" fillId="0" borderId="0" applyNumberFormat="0" applyFill="0" applyProtection="0">
      <alignment horizontal="left" indent="1"/>
    </xf>
    <xf numFmtId="4" fontId="8" fillId="0" borderId="0" applyFill="0" applyProtection="0">
      <alignment horizontal="right" indent="1"/>
    </xf>
    <xf numFmtId="0" fontId="7" fillId="2" borderId="0" applyNumberFormat="0" applyBorder="0" applyProtection="0">
      <alignment vertical="center" wrapText="1"/>
    </xf>
    <xf numFmtId="0" fontId="5" fillId="3" borderId="0" applyNumberFormat="0" applyBorder="0" applyAlignment="0" applyProtection="0"/>
    <xf numFmtId="0" fontId="6" fillId="3" borderId="0" applyNumberFormat="0" applyBorder="0" applyAlignment="0" applyProtection="0"/>
    <xf numFmtId="0" fontId="9" fillId="0" borderId="0">
      <alignment horizontal="left" wrapText="1" indent="1"/>
    </xf>
    <xf numFmtId="4" fontId="9" fillId="0" borderId="0">
      <alignment horizontal="right" indent="1"/>
    </xf>
    <xf numFmtId="176" fontId="9" fillId="0" borderId="0">
      <alignment horizontal="left" indent="1"/>
    </xf>
    <xf numFmtId="0" fontId="2" fillId="0" borderId="0">
      <alignment horizontal="left" vertical="center" wrapText="1" indent="6"/>
    </xf>
    <xf numFmtId="0" fontId="9" fillId="0" borderId="0">
      <alignment horizontal="left" vertical="center" wrapText="1" indent="3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5" borderId="6" applyNumberFormat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8" fontId="12" fillId="14" borderId="0">
      <alignment horizontal="left" vertical="center"/>
    </xf>
  </cellStyleXfs>
  <cellXfs count="170">
    <xf numFmtId="0" fontId="0" fillId="0" borderId="0" xfId="0"/>
    <xf numFmtId="0" fontId="12" fillId="0" borderId="0" xfId="0" applyFont="1"/>
    <xf numFmtId="0" fontId="13" fillId="2" borderId="0" xfId="5" applyFont="1">
      <alignment vertical="center" wrapText="1"/>
    </xf>
    <xf numFmtId="0" fontId="12" fillId="0" borderId="0" xfId="12" applyFont="1">
      <alignment horizontal="left" vertical="center" wrapText="1" indent="3"/>
    </xf>
    <xf numFmtId="0" fontId="12" fillId="0" borderId="0" xfId="11" applyFont="1">
      <alignment horizontal="left" vertical="center" wrapText="1" indent="6"/>
    </xf>
    <xf numFmtId="0" fontId="15" fillId="0" borderId="0" xfId="11" applyFont="1">
      <alignment horizontal="left" vertical="center" wrapText="1" indent="6"/>
    </xf>
    <xf numFmtId="0" fontId="11" fillId="0" borderId="0" xfId="1" applyFont="1"/>
    <xf numFmtId="0" fontId="14" fillId="0" borderId="0" xfId="3" applyFont="1">
      <alignment horizontal="left" indent="1"/>
    </xf>
    <xf numFmtId="0" fontId="12" fillId="0" borderId="0" xfId="8" applyFont="1">
      <alignment horizontal="left" wrapText="1" indent="1"/>
    </xf>
    <xf numFmtId="0" fontId="12" fillId="0" borderId="0" xfId="0" applyFont="1" applyAlignment="1">
      <alignment horizontal="left" indent="1"/>
    </xf>
    <xf numFmtId="0" fontId="14" fillId="0" borderId="0" xfId="3" applyFont="1" applyFill="1">
      <alignment horizontal="left" indent="1"/>
    </xf>
    <xf numFmtId="0" fontId="16" fillId="3" borderId="2" xfId="6" applyFont="1" applyBorder="1" applyAlignment="1">
      <alignment horizontal="center" vertical="center"/>
    </xf>
    <xf numFmtId="178" fontId="12" fillId="0" borderId="0" xfId="10" applyNumberFormat="1" applyFont="1">
      <alignment horizontal="left" indent="1"/>
    </xf>
    <xf numFmtId="177" fontId="12" fillId="0" borderId="0" xfId="0" applyNumberFormat="1" applyFont="1" applyAlignment="1">
      <alignment horizontal="right" indent="1"/>
    </xf>
    <xf numFmtId="177" fontId="12" fillId="0" borderId="0" xfId="9" applyNumberFormat="1" applyFont="1">
      <alignment horizontal="right" indent="1"/>
    </xf>
    <xf numFmtId="177" fontId="14" fillId="0" borderId="0" xfId="0" applyNumberFormat="1" applyFont="1" applyAlignment="1">
      <alignment horizontal="right" indent="1"/>
    </xf>
    <xf numFmtId="177" fontId="12" fillId="0" borderId="0" xfId="0" applyNumberFormat="1" applyFont="1"/>
    <xf numFmtId="179" fontId="12" fillId="0" borderId="0" xfId="9" applyNumberFormat="1" applyFont="1">
      <alignment horizontal="right" indent="1"/>
    </xf>
    <xf numFmtId="179" fontId="12" fillId="0" borderId="0" xfId="0" applyNumberFormat="1" applyFont="1" applyAlignment="1">
      <alignment horizontal="right" indent="1"/>
    </xf>
    <xf numFmtId="181" fontId="12" fillId="0" borderId="0" xfId="13" applyNumberFormat="1" applyFont="1" applyAlignment="1">
      <alignment horizontal="left" wrapText="1" indent="1"/>
    </xf>
    <xf numFmtId="180" fontId="12" fillId="0" borderId="3" xfId="8" applyNumberFormat="1" applyFont="1" applyBorder="1">
      <alignment horizontal="left" wrapText="1" indent="1"/>
    </xf>
    <xf numFmtId="182" fontId="12" fillId="0" borderId="0" xfId="8" applyNumberFormat="1" applyFont="1">
      <alignment horizontal="left" wrapText="1" indent="1"/>
    </xf>
    <xf numFmtId="0" fontId="14" fillId="0" borderId="0" xfId="0" applyFont="1" applyAlignment="1">
      <alignment horizontal="right" indent="1"/>
    </xf>
    <xf numFmtId="9" fontId="12" fillId="0" borderId="0" xfId="14" applyFont="1" applyAlignment="1"/>
    <xf numFmtId="10" fontId="12" fillId="0" borderId="0" xfId="14" applyNumberFormat="1" applyFont="1" applyAlignment="1"/>
    <xf numFmtId="10" fontId="12" fillId="0" borderId="0" xfId="0" applyNumberFormat="1" applyFont="1"/>
    <xf numFmtId="10" fontId="14" fillId="0" borderId="0" xfId="0" applyNumberFormat="1" applyFont="1" applyAlignment="1">
      <alignment horizontal="right" indent="1"/>
    </xf>
    <xf numFmtId="179" fontId="0" fillId="0" borderId="0" xfId="0" applyNumberFormat="1"/>
    <xf numFmtId="183" fontId="12" fillId="0" borderId="0" xfId="9" applyNumberFormat="1" applyFont="1">
      <alignment horizontal="right" indent="1"/>
    </xf>
    <xf numFmtId="183" fontId="12" fillId="0" borderId="0" xfId="0" applyNumberFormat="1" applyFont="1"/>
    <xf numFmtId="14" fontId="0" fillId="0" borderId="0" xfId="0" applyNumberFormat="1"/>
    <xf numFmtId="0" fontId="19" fillId="0" borderId="0" xfId="0" applyFont="1"/>
    <xf numFmtId="0" fontId="20" fillId="0" borderId="0" xfId="0" applyFont="1" applyAlignment="1">
      <alignment horizontal="left" vertical="center" indent="1" readingOrder="1"/>
    </xf>
    <xf numFmtId="0" fontId="5" fillId="3" borderId="2" xfId="6" applyBorder="1" applyAlignment="1">
      <alignment horizontal="center" vertical="center"/>
    </xf>
    <xf numFmtId="183" fontId="12" fillId="0" borderId="0" xfId="0" applyNumberFormat="1" applyFont="1" applyAlignment="1">
      <alignment horizontal="right" indent="1"/>
    </xf>
    <xf numFmtId="0" fontId="24" fillId="0" borderId="0" xfId="0" applyFont="1"/>
    <xf numFmtId="0" fontId="14" fillId="0" borderId="0" xfId="0" applyFont="1"/>
    <xf numFmtId="9" fontId="0" fillId="0" borderId="0" xfId="0" applyNumberFormat="1"/>
    <xf numFmtId="8" fontId="0" fillId="0" borderId="0" xfId="0" applyNumberFormat="1"/>
    <xf numFmtId="10" fontId="0" fillId="0" borderId="4" xfId="0" applyNumberFormat="1" applyBorder="1"/>
    <xf numFmtId="0" fontId="0" fillId="0" borderId="4" xfId="0" applyBorder="1"/>
    <xf numFmtId="8" fontId="23" fillId="2" borderId="5" xfId="0" applyNumberFormat="1" applyFont="1" applyFill="1" applyBorder="1"/>
    <xf numFmtId="178" fontId="12" fillId="0" borderId="0" xfId="0" applyNumberFormat="1" applyFont="1"/>
    <xf numFmtId="44" fontId="12" fillId="0" borderId="0" xfId="13" applyFont="1" applyAlignment="1">
      <alignment horizontal="right" indent="1"/>
    </xf>
    <xf numFmtId="44" fontId="12" fillId="0" borderId="0" xfId="13" applyFont="1" applyAlignment="1"/>
    <xf numFmtId="14" fontId="16" fillId="3" borderId="2" xfId="6" applyNumberFormat="1" applyFont="1" applyBorder="1" applyAlignment="1">
      <alignment horizontal="center" vertical="center"/>
    </xf>
    <xf numFmtId="14" fontId="5" fillId="3" borderId="2" xfId="6" applyNumberFormat="1" applyBorder="1" applyAlignment="1">
      <alignment horizontal="center" vertical="center"/>
    </xf>
    <xf numFmtId="0" fontId="14" fillId="0" borderId="9" xfId="3" applyFont="1" applyFill="1" applyBorder="1">
      <alignment horizontal="left" indent="1"/>
    </xf>
    <xf numFmtId="10" fontId="12" fillId="0" borderId="0" xfId="14" applyNumberFormat="1" applyFont="1" applyBorder="1" applyAlignment="1">
      <alignment horizontal="right" indent="1"/>
    </xf>
    <xf numFmtId="0" fontId="12" fillId="0" borderId="11" xfId="0" applyFont="1" applyBorder="1"/>
    <xf numFmtId="10" fontId="27" fillId="5" borderId="16" xfId="15" applyNumberFormat="1" applyFont="1" applyBorder="1" applyAlignment="1">
      <alignment horizontal="center" vertical="center"/>
    </xf>
    <xf numFmtId="10" fontId="27" fillId="5" borderId="17" xfId="15" applyNumberFormat="1" applyFont="1" applyBorder="1" applyAlignment="1">
      <alignment horizontal="center" vertical="center"/>
    </xf>
    <xf numFmtId="10" fontId="27" fillId="6" borderId="12" xfId="0" applyNumberFormat="1" applyFont="1" applyFill="1" applyBorder="1" applyAlignment="1">
      <alignment horizontal="center" vertical="center"/>
    </xf>
    <xf numFmtId="179" fontId="12" fillId="0" borderId="0" xfId="9" applyNumberFormat="1" applyFont="1" applyAlignment="1">
      <alignment horizontal="left" vertical="center"/>
    </xf>
    <xf numFmtId="179" fontId="14" fillId="0" borderId="8" xfId="3" applyNumberFormat="1" applyFont="1" applyFill="1" applyBorder="1" applyAlignment="1">
      <alignment horizontal="center" vertical="center"/>
    </xf>
    <xf numFmtId="0" fontId="14" fillId="0" borderId="8" xfId="3" applyFont="1" applyFill="1" applyBorder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7" fontId="14" fillId="0" borderId="0" xfId="0" applyNumberFormat="1" applyFont="1" applyAlignment="1">
      <alignment horizontal="center" vertical="center"/>
    </xf>
    <xf numFmtId="10" fontId="14" fillId="0" borderId="15" xfId="14" applyNumberFormat="1" applyFont="1" applyBorder="1" applyAlignment="1">
      <alignment horizontal="center" vertical="center"/>
    </xf>
    <xf numFmtId="183" fontId="12" fillId="0" borderId="0" xfId="9" applyNumberFormat="1" applyFont="1" applyAlignment="1">
      <alignment horizontal="left" vertical="center"/>
    </xf>
    <xf numFmtId="183" fontId="12" fillId="0" borderId="0" xfId="13" applyNumberFormat="1" applyFont="1" applyBorder="1" applyAlignment="1">
      <alignment horizontal="left" vertical="center"/>
    </xf>
    <xf numFmtId="8" fontId="12" fillId="0" borderId="0" xfId="9" applyNumberFormat="1" applyFont="1" applyAlignment="1">
      <alignment horizontal="left" vertical="center"/>
    </xf>
    <xf numFmtId="183" fontId="12" fillId="0" borderId="0" xfId="0" applyNumberFormat="1" applyFont="1" applyAlignment="1">
      <alignment horizontal="left" vertical="center"/>
    </xf>
    <xf numFmtId="8" fontId="12" fillId="0" borderId="0" xfId="0" applyNumberFormat="1" applyFont="1" applyAlignment="1">
      <alignment horizontal="left" vertical="center"/>
    </xf>
    <xf numFmtId="10" fontId="29" fillId="5" borderId="14" xfId="15" applyNumberFormat="1" applyFont="1" applyBorder="1" applyAlignment="1">
      <alignment horizontal="center" vertical="center"/>
    </xf>
    <xf numFmtId="10" fontId="29" fillId="6" borderId="1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7" xfId="3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0" xfId="1" applyFont="1" applyAlignment="1">
      <alignment horizontal="center" vertical="center"/>
    </xf>
    <xf numFmtId="10" fontId="33" fillId="6" borderId="6" xfId="0" applyNumberFormat="1" applyFont="1" applyFill="1" applyBorder="1" applyAlignment="1">
      <alignment horizontal="center" vertical="center"/>
    </xf>
    <xf numFmtId="0" fontId="25" fillId="0" borderId="8" xfId="3" applyFont="1" applyFill="1" applyBorder="1">
      <alignment horizontal="left" indent="1"/>
    </xf>
    <xf numFmtId="0" fontId="12" fillId="7" borderId="10" xfId="8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10" fontId="12" fillId="0" borderId="0" xfId="14" applyNumberFormat="1" applyFont="1" applyFill="1" applyAlignment="1"/>
    <xf numFmtId="8" fontId="35" fillId="4" borderId="0" xfId="0" applyNumberFormat="1" applyFont="1" applyFill="1" applyAlignment="1">
      <alignment horizontal="center" vertical="center"/>
    </xf>
    <xf numFmtId="0" fontId="12" fillId="4" borderId="10" xfId="8" applyFont="1" applyFill="1" applyBorder="1" applyAlignment="1">
      <alignment horizontal="center" vertical="center" wrapText="1"/>
    </xf>
    <xf numFmtId="0" fontId="12" fillId="9" borderId="10" xfId="8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/>
    </xf>
    <xf numFmtId="0" fontId="12" fillId="10" borderId="10" xfId="8" applyFont="1" applyFill="1" applyBorder="1" applyAlignment="1">
      <alignment horizontal="center" vertical="center" wrapText="1"/>
    </xf>
    <xf numFmtId="177" fontId="12" fillId="0" borderId="0" xfId="14" applyNumberFormat="1" applyFont="1" applyAlignment="1"/>
    <xf numFmtId="177" fontId="12" fillId="0" borderId="0" xfId="9" applyNumberFormat="1" applyFont="1" applyAlignment="1">
      <alignment horizontal="left" vertical="center"/>
    </xf>
    <xf numFmtId="177" fontId="12" fillId="0" borderId="0" xfId="13" applyNumberFormat="1" applyFont="1" applyBorder="1" applyAlignment="1">
      <alignment horizontal="left" vertical="center"/>
    </xf>
    <xf numFmtId="185" fontId="0" fillId="0" borderId="0" xfId="0" applyNumberFormat="1" applyAlignment="1">
      <alignment horizontal="center" vertical="center"/>
    </xf>
    <xf numFmtId="0" fontId="39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1" fillId="0" borderId="3" xfId="0" applyFont="1" applyBorder="1" applyAlignment="1">
      <alignment vertical="center"/>
    </xf>
    <xf numFmtId="0" fontId="43" fillId="0" borderId="0" xfId="0" applyFont="1" applyAlignment="1">
      <alignment horizontal="left" vertical="center" indent="1"/>
    </xf>
    <xf numFmtId="186" fontId="43" fillId="0" borderId="0" xfId="16" applyNumberFormat="1" applyFont="1" applyFill="1" applyBorder="1" applyAlignment="1">
      <alignment horizontal="left" vertical="center" indent="1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right" vertical="center" indent="2"/>
    </xf>
    <xf numFmtId="0" fontId="34" fillId="0" borderId="18" xfId="17" applyFont="1" applyFill="1" applyBorder="1" applyAlignment="1">
      <alignment horizontal="left" vertical="center" indent="1"/>
    </xf>
    <xf numFmtId="186" fontId="34" fillId="0" borderId="19" xfId="16" applyNumberFormat="1" applyFont="1" applyFill="1" applyBorder="1" applyAlignment="1">
      <alignment horizontal="center" vertical="center"/>
    </xf>
    <xf numFmtId="10" fontId="34" fillId="0" borderId="19" xfId="0" applyNumberFormat="1" applyFont="1" applyBorder="1" applyAlignment="1">
      <alignment horizontal="center" vertical="center"/>
    </xf>
    <xf numFmtId="9" fontId="34" fillId="0" borderId="19" xfId="14" applyFont="1" applyFill="1" applyBorder="1" applyAlignment="1">
      <alignment horizontal="center" vertical="center"/>
    </xf>
    <xf numFmtId="0" fontId="44" fillId="0" borderId="21" xfId="0" applyFont="1" applyBorder="1" applyAlignment="1">
      <alignment horizontal="left" vertical="center" indent="1"/>
    </xf>
    <xf numFmtId="186" fontId="44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horizontal="center" vertical="center"/>
    </xf>
    <xf numFmtId="180" fontId="34" fillId="0" borderId="19" xfId="0" applyNumberFormat="1" applyFont="1" applyBorder="1" applyAlignment="1">
      <alignment horizontal="center" vertical="center"/>
    </xf>
    <xf numFmtId="180" fontId="34" fillId="0" borderId="20" xfId="0" applyNumberFormat="1" applyFont="1" applyBorder="1" applyAlignment="1">
      <alignment horizontal="center" vertical="center"/>
    </xf>
    <xf numFmtId="10" fontId="44" fillId="0" borderId="22" xfId="0" applyNumberFormat="1" applyFont="1" applyBorder="1" applyAlignment="1">
      <alignment horizontal="center" vertical="center"/>
    </xf>
    <xf numFmtId="0" fontId="44" fillId="0" borderId="19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 indent="1"/>
    </xf>
    <xf numFmtId="9" fontId="34" fillId="0" borderId="0" xfId="0" applyNumberFormat="1" applyFont="1" applyAlignment="1">
      <alignment horizontal="left" vertical="center" indent="1"/>
    </xf>
    <xf numFmtId="9" fontId="44" fillId="0" borderId="19" xfId="0" applyNumberFormat="1" applyFont="1" applyBorder="1" applyAlignment="1">
      <alignment horizontal="center" vertical="center"/>
    </xf>
    <xf numFmtId="49" fontId="34" fillId="0" borderId="18" xfId="17" applyNumberFormat="1" applyFont="1" applyFill="1" applyBorder="1" applyAlignment="1">
      <alignment horizontal="left" vertical="center" indent="1"/>
    </xf>
    <xf numFmtId="183" fontId="34" fillId="0" borderId="19" xfId="0" applyNumberFormat="1" applyFont="1" applyBorder="1" applyAlignment="1">
      <alignment horizontal="center" vertical="center"/>
    </xf>
    <xf numFmtId="183" fontId="44" fillId="0" borderId="22" xfId="0" applyNumberFormat="1" applyFont="1" applyBorder="1" applyAlignment="1">
      <alignment horizontal="center" vertical="center"/>
    </xf>
    <xf numFmtId="183" fontId="34" fillId="0" borderId="20" xfId="0" applyNumberFormat="1" applyFont="1" applyBorder="1" applyAlignment="1">
      <alignment horizontal="center" vertical="center"/>
    </xf>
    <xf numFmtId="183" fontId="44" fillId="0" borderId="23" xfId="0" applyNumberFormat="1" applyFont="1" applyBorder="1" applyAlignment="1">
      <alignment horizontal="center" vertical="center"/>
    </xf>
    <xf numFmtId="49" fontId="40" fillId="0" borderId="24" xfId="0" applyNumberFormat="1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41" fillId="0" borderId="25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45" fillId="0" borderId="27" xfId="0" applyFont="1" applyBorder="1" applyAlignment="1">
      <alignment vertical="center"/>
    </xf>
    <xf numFmtId="49" fontId="45" fillId="0" borderId="4" xfId="0" applyNumberFormat="1" applyFont="1" applyBorder="1" applyAlignment="1">
      <alignment vertical="center"/>
    </xf>
    <xf numFmtId="14" fontId="45" fillId="0" borderId="4" xfId="0" applyNumberFormat="1" applyFont="1" applyBorder="1" applyAlignment="1">
      <alignment vertical="center"/>
    </xf>
    <xf numFmtId="187" fontId="45" fillId="0" borderId="4" xfId="0" applyNumberFormat="1" applyFont="1" applyBorder="1" applyAlignment="1">
      <alignment vertical="center"/>
    </xf>
    <xf numFmtId="183" fontId="46" fillId="0" borderId="4" xfId="0" applyNumberFormat="1" applyFont="1" applyBorder="1"/>
    <xf numFmtId="183" fontId="45" fillId="0" borderId="4" xfId="0" applyNumberFormat="1" applyFont="1" applyBorder="1"/>
    <xf numFmtId="184" fontId="45" fillId="0" borderId="4" xfId="14" applyNumberFormat="1" applyFont="1" applyFill="1" applyBorder="1" applyAlignment="1"/>
    <xf numFmtId="0" fontId="45" fillId="12" borderId="27" xfId="0" applyFont="1" applyFill="1" applyBorder="1" applyAlignment="1">
      <alignment vertical="center"/>
    </xf>
    <xf numFmtId="49" fontId="46" fillId="0" borderId="4" xfId="0" applyNumberFormat="1" applyFont="1" applyBorder="1" applyAlignment="1">
      <alignment vertical="center"/>
    </xf>
    <xf numFmtId="49" fontId="22" fillId="0" borderId="29" xfId="0" applyNumberFormat="1" applyFont="1" applyBorder="1" applyAlignment="1">
      <alignment vertical="center"/>
    </xf>
    <xf numFmtId="14" fontId="45" fillId="0" borderId="30" xfId="0" applyNumberFormat="1" applyFont="1" applyBorder="1"/>
    <xf numFmtId="0" fontId="45" fillId="0" borderId="30" xfId="0" applyFont="1" applyBorder="1"/>
    <xf numFmtId="179" fontId="12" fillId="0" borderId="0" xfId="0" applyNumberFormat="1" applyFont="1"/>
    <xf numFmtId="179" fontId="12" fillId="4" borderId="0" xfId="9" applyNumberFormat="1" applyFont="1" applyFill="1">
      <alignment horizontal="right" indent="1"/>
    </xf>
    <xf numFmtId="180" fontId="44" fillId="0" borderId="33" xfId="0" applyNumberFormat="1" applyFont="1" applyBorder="1" applyAlignment="1">
      <alignment horizontal="center" vertical="center"/>
    </xf>
    <xf numFmtId="180" fontId="44" fillId="0" borderId="32" xfId="0" applyNumberFormat="1" applyFont="1" applyBorder="1" applyAlignment="1">
      <alignment horizontal="center" vertical="center"/>
    </xf>
    <xf numFmtId="183" fontId="47" fillId="0" borderId="30" xfId="0" applyNumberFormat="1" applyFont="1" applyBorder="1"/>
    <xf numFmtId="184" fontId="47" fillId="0" borderId="30" xfId="0" applyNumberFormat="1" applyFont="1" applyBorder="1"/>
    <xf numFmtId="188" fontId="34" fillId="0" borderId="4" xfId="0" applyNumberFormat="1" applyFont="1" applyBorder="1" applyAlignment="1">
      <alignment horizontal="center" vertical="center"/>
    </xf>
    <xf numFmtId="180" fontId="12" fillId="4" borderId="0" xfId="8" applyNumberFormat="1" applyFont="1" applyFill="1">
      <alignment horizontal="left" wrapText="1" indent="1"/>
    </xf>
    <xf numFmtId="179" fontId="12" fillId="2" borderId="0" xfId="9" applyNumberFormat="1" applyFont="1" applyFill="1">
      <alignment horizontal="right" indent="1"/>
    </xf>
    <xf numFmtId="180" fontId="34" fillId="0" borderId="19" xfId="16" applyNumberFormat="1" applyFont="1" applyFill="1" applyBorder="1" applyAlignment="1">
      <alignment horizontal="center" vertical="center"/>
    </xf>
    <xf numFmtId="180" fontId="34" fillId="0" borderId="20" xfId="14" applyNumberFormat="1" applyFont="1" applyFill="1" applyBorder="1" applyAlignment="1">
      <alignment horizontal="center" vertical="center"/>
    </xf>
    <xf numFmtId="9" fontId="45" fillId="0" borderId="28" xfId="0" applyNumberFormat="1" applyFont="1" applyBorder="1"/>
    <xf numFmtId="9" fontId="46" fillId="0" borderId="28" xfId="0" applyNumberFormat="1" applyFont="1" applyBorder="1"/>
    <xf numFmtId="9" fontId="45" fillId="0" borderId="31" xfId="0" applyNumberFormat="1" applyFont="1" applyBorder="1"/>
    <xf numFmtId="0" fontId="45" fillId="13" borderId="27" xfId="0" applyFont="1" applyFill="1" applyBorder="1" applyAlignment="1">
      <alignment vertical="center"/>
    </xf>
    <xf numFmtId="0" fontId="49" fillId="0" borderId="25" xfId="0" applyFont="1" applyBorder="1" applyAlignment="1">
      <alignment vertical="center"/>
    </xf>
    <xf numFmtId="0" fontId="40" fillId="4" borderId="25" xfId="0" applyFont="1" applyFill="1" applyBorder="1" applyAlignment="1">
      <alignment vertical="center"/>
    </xf>
    <xf numFmtId="0" fontId="12" fillId="0" borderId="26" xfId="0" applyFont="1" applyBorder="1" applyAlignment="1">
      <alignment vertical="center"/>
    </xf>
    <xf numFmtId="10" fontId="35" fillId="4" borderId="0" xfId="0" applyNumberFormat="1" applyFont="1" applyFill="1" applyAlignment="1">
      <alignment horizontal="center" vertical="center"/>
    </xf>
    <xf numFmtId="10" fontId="12" fillId="0" borderId="0" xfId="14" applyNumberFormat="1" applyFont="1" applyBorder="1" applyAlignment="1">
      <alignment horizontal="center" vertical="center"/>
    </xf>
    <xf numFmtId="8" fontId="34" fillId="0" borderId="0" xfId="0" applyNumberFormat="1" applyFont="1" applyAlignment="1">
      <alignment horizontal="left" vertical="center"/>
    </xf>
    <xf numFmtId="179" fontId="35" fillId="4" borderId="0" xfId="0" applyNumberFormat="1" applyFont="1" applyFill="1" applyAlignment="1">
      <alignment horizontal="center" vertical="center"/>
    </xf>
    <xf numFmtId="183" fontId="34" fillId="0" borderId="19" xfId="16" applyNumberFormat="1" applyFont="1" applyFill="1" applyBorder="1" applyAlignment="1">
      <alignment horizontal="center" vertical="center"/>
    </xf>
    <xf numFmtId="183" fontId="34" fillId="0" borderId="19" xfId="14" applyNumberFormat="1" applyFont="1" applyFill="1" applyBorder="1" applyAlignment="1">
      <alignment horizontal="center" vertical="center"/>
    </xf>
    <xf numFmtId="180" fontId="34" fillId="0" borderId="18" xfId="14" applyNumberFormat="1" applyFont="1" applyFill="1" applyBorder="1" applyAlignment="1">
      <alignment horizontal="center" vertical="center"/>
    </xf>
    <xf numFmtId="49" fontId="34" fillId="4" borderId="18" xfId="17" applyNumberFormat="1" applyFont="1" applyFill="1" applyBorder="1" applyAlignment="1">
      <alignment horizontal="left" vertical="center" indent="1"/>
    </xf>
    <xf numFmtId="10" fontId="33" fillId="4" borderId="16" xfId="14" applyNumberFormat="1" applyFont="1" applyFill="1" applyBorder="1" applyAlignment="1">
      <alignment horizontal="center" vertical="center"/>
    </xf>
    <xf numFmtId="0" fontId="12" fillId="0" borderId="0" xfId="8" applyFont="1">
      <alignment horizontal="left" wrapText="1" indent="1"/>
      <extLst>
        <ext xmlns:xfpb="http://schemas.microsoft.com/office/spreadsheetml/2022/featurepropertybag" uri="{C7286773-470A-42A8-94C5-96B5CB345126}">
          <xfpb:xfComplement i="0"/>
        </ext>
      </extLst>
    </xf>
    <xf numFmtId="183" fontId="44" fillId="0" borderId="19" xfId="0" applyNumberFormat="1" applyFont="1" applyBorder="1" applyAlignment="1">
      <alignment horizontal="center" vertical="center"/>
    </xf>
    <xf numFmtId="9" fontId="34" fillId="0" borderId="18" xfId="14" applyFont="1" applyFill="1" applyBorder="1" applyAlignment="1">
      <alignment vertical="top" wrapText="1"/>
    </xf>
    <xf numFmtId="9" fontId="34" fillId="0" borderId="0" xfId="0" applyNumberFormat="1" applyFont="1" applyAlignment="1">
      <alignment vertical="top" wrapText="1"/>
    </xf>
    <xf numFmtId="189" fontId="14" fillId="0" borderId="0" xfId="0" applyNumberFormat="1" applyFont="1" applyAlignment="1">
      <alignment horizontal="center" vertical="center"/>
    </xf>
    <xf numFmtId="0" fontId="53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top" wrapText="1"/>
    </xf>
    <xf numFmtId="0" fontId="36" fillId="0" borderId="0" xfId="1" applyFont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1" applyFont="1"/>
    <xf numFmtId="0" fontId="11" fillId="0" borderId="1" xfId="1" applyFont="1" applyBorder="1"/>
  </cellXfs>
  <cellStyles count="19">
    <cellStyle name="40% - 着色 3" xfId="17" builtinId="39"/>
    <cellStyle name="百分比" xfId="14" builtinId="5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表格编号" xfId="9" xr:uid="{00000000-0005-0000-0000-000005000000}"/>
    <cellStyle name="表格日期​​" xfId="10" xr:uid="{00000000-0005-0000-0000-000006000000}"/>
    <cellStyle name="表格详细信息" xfId="8" xr:uid="{00000000-0005-0000-0000-000007000000}"/>
    <cellStyle name="常规" xfId="0" builtinId="0" customBuiltin="1"/>
    <cellStyle name="超链接" xfId="6" builtinId="8" customBuiltin="1"/>
    <cellStyle name="货币" xfId="13" builtinId="4"/>
    <cellStyle name="计算" xfId="15" builtinId="22"/>
    <cellStyle name="千位分隔" xfId="16" builtinId="3"/>
    <cellStyle name="提示文本" xfId="12" xr:uid="{00000000-0005-0000-0000-00000A000000}"/>
    <cellStyle name="提示文本缩进" xfId="11" xr:uid="{00000000-0005-0000-0000-00000B000000}"/>
    <cellStyle name="样式 1" xfId="18" xr:uid="{277C73EF-99B5-4385-AA6B-A5611E372187}"/>
    <cellStyle name="已访问的超链接" xfId="7" builtinId="9" customBuiltin="1"/>
  </cellStyles>
  <dxfs count="644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7" formatCode="#,##0.00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83" formatCode="&quot;¥&quot;#,##0.00_);[Red]\(&quot;¥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7" formatCode="#,##0.00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7" formatCode="#,##0.00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7" formatCode="#,##0.00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7" formatCode="#,##0.00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7" formatCode="#,##0.00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7" formatCode="#,##0.00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83" formatCode="&quot;¥&quot;#,##0.00_);[Red]\(&quot;¥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8" formatCode="[$-F800]dddd\,\ mmmm\ dd\,\ yyyy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/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183" formatCode="&quot;¥&quot;#,##0.00_);[Red]\(&quot;¥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/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183" formatCode="&quot;¥&quot;#,##0.00_);[Red]\(&quot;¥&quot;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183" formatCode="&quot;¥&quot;#,##0.00_);[Red]\(&quot;¥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183" formatCode="&quot;¥&quot;#,##0.00_);[Red]\(&quot;¥&quot;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numFmt numFmtId="186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186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 style="thin">
          <color theme="9" tint="-0.499984740745262"/>
        </right>
        <top/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9" tint="-0.49998474074526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 style="thin">
          <color theme="9" tint="-0.499984740745262"/>
        </right>
        <top/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9" tint="-0.49998474074526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180" formatCode="_-\$* #,##0.00_ ;_-\$* \-#,##0.00\ ;_-\$* &quot;-&quot;??_ ;_-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numFmt numFmtId="180" formatCode="_-\$* #,##0.00_ ;_-\$* \-#,##0.00\ ;_-\$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180" formatCode="_-\$* #,##0.00_ ;_-\$* \-#,##0.00\ ;_-\$* &quot;-&quot;??_ ;_-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 tint="-0.499984740745262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numFmt numFmtId="180" formatCode="_-\$* #,##0.00_ ;_-\$* \-#,##0.00\ ;_-\$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180" formatCode="_-\$* #,##0.00_ ;_-\$* \-#,##0.00\ ;_-\$* &quot;-&quot;??_ ;_-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 tint="-0.499984740745262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180" formatCode="_-\$* #,##0.00_ ;_-\$* \-#,##0.00\ ;_-\$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numFmt numFmtId="186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180" formatCode="_-\$* #,##0.00_ ;_-\$* \-#,##0.00\ ;_-\$* &quot;-&quot;??_ ;_-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numFmt numFmtId="186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186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9" tint="-0.49998474074526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 style="thin">
          <color theme="9" tint="-0.499984740745262"/>
        </right>
        <top/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84" formatCode="0.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84" formatCode="0.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83" formatCode="&quot;¥&quot;#,##0.00_);[Red]\(&quot;¥&quot;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Microsoft YaHei UI"/>
        <family val="2"/>
        <charset val="134"/>
        <scheme val="none"/>
      </font>
      <numFmt numFmtId="183" formatCode="&quot;¥&quot;#,##0.00_);[Red]\(&quot;¥&quot;#,##0.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83" formatCode="&quot;¥&quot;#,##0.00_);[Red]\(&quot;¥&quot;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YaHei UI"/>
        <family val="2"/>
        <charset val="134"/>
        <scheme val="none"/>
      </font>
      <numFmt numFmtId="183" formatCode="&quot;¥&quot;#,##0.00_);[Red]\(&quot;¥&quot;#,##0.00\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83" formatCode="&quot;¥&quot;#,##0.00_);[Red]\(&quot;¥&quot;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Microsoft YaHei UI"/>
        <family val="2"/>
        <charset val="134"/>
        <scheme val="none"/>
      </font>
      <numFmt numFmtId="183" formatCode="&quot;¥&quot;#,##0.00_);[Red]\(&quot;¥&quot;#,##0.00\)"/>
      <fill>
        <patternFill patternType="none">
          <fgColor indexed="64"/>
          <bgColor indexed="65"/>
        </patternFill>
      </fill>
      <border diagonalUp="0" diagonalDown="0" outline="0">
        <left style="thin">
          <color theme="9" tint="-0.499984740745262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icrosoft YaHei UI"/>
        <family val="2"/>
        <charset val="134"/>
        <scheme val="none"/>
      </font>
      <numFmt numFmtId="188" formatCode="0.00_);[Red]\(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YaHei UI"/>
        <family val="2"/>
        <charset val="134"/>
        <scheme val="none"/>
      </font>
      <numFmt numFmtId="188" formatCode="0.00_);[Red]\(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theme="9" tint="-0.499984740745262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YaHei UI"/>
        <family val="2"/>
        <charset val="134"/>
        <scheme val="none"/>
      </font>
      <numFmt numFmtId="19" formatCode="yyyy/m/d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yyyy/m/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Microsoft YaHei UI"/>
        <family val="2"/>
        <charset val="13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2"/>
        <charset val="134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YaHei UI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4" formatCode="0.00%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4" formatCode="0.00%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7" formatCode="#,##0.00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22"/>
        <color rgb="FFFA7D00"/>
        <name val="等线"/>
        <family val="3"/>
        <charset val="134"/>
        <scheme val="none"/>
      </font>
      <numFmt numFmtId="14" formatCode="0.00%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22"/>
        <color rgb="FFFF0000"/>
        <name val="等线"/>
        <family val="3"/>
        <charset val="134"/>
        <scheme val="none"/>
      </font>
      <numFmt numFmtId="14" formatCode="0.00%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4" formatCode="0.00%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6"/>
        <color theme="7" tint="-0.249977111117893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1" formatCode="&quot;¥&quot;#,##0.00;&quot;¥&quot;\-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2" formatCode="&quot;¥&quot;#,##0.00;[Red]&quot;¥&quot;\-#,##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1" formatCode="&quot;¥&quot;#,##0.00;&quot;¥&quot;\-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2" formatCode="&quot;¥&quot;#,##0.00;[Red]&quot;¥&quot;\-#,##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1" formatCode="&quot;¥&quot;#,##0.00;&quot;¥&quot;\-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2" formatCode="&quot;¥&quot;#,##0.00;[Red]&quot;¥&quot;\-#,##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1" formatCode="&quot;¥&quot;#,##0.00;&quot;¥&quot;\-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2" formatCode="&quot;¥&quot;#,##0.00;[Red]&quot;¥&quot;\-#,##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1" formatCode="&quot;¥&quot;#,##0.00;&quot;¥&quot;\-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2" formatCode="&quot;¥&quot;#,##0.00;[Red]&quot;¥&quot;\-#,##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9" formatCode="_ [$¥-804]* #,##0.00_ ;_ [$¥-804]* \-#,##0.00_ ;_ [$¥-804]* &quot;-&quot;??_ ;_ @_ "/>
      <alignment horizontal="left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rgb="FFFA7D00"/>
        <name val="等线"/>
        <family val="3"/>
        <charset val="134"/>
        <scheme val="none"/>
      </font>
      <numFmt numFmtId="14" formatCode="0.00%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medium">
          <color indexed="64"/>
        </right>
        <top style="thin">
          <color rgb="FF7F7F7F"/>
        </top>
        <bottom style="thin">
          <color rgb="FF7F7F7F"/>
        </bottom>
      </border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ill>
        <patternFill patternType="solid">
          <fgColor rgb="FFFF0000"/>
          <bgColor rgb="FF000000"/>
        </patternFill>
      </fill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F1115"/>
        <name val="Microsoft YaHei UI"/>
        <family val="2"/>
        <charset val="134"/>
        <scheme val="none"/>
      </font>
      <numFmt numFmtId="11" formatCode="&quot;¥&quot;#,##0.00;&quot;¥&quot;\-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Microsoft YaHei UI"/>
        <family val="2"/>
        <charset val="134"/>
        <scheme val="none"/>
      </font>
      <numFmt numFmtId="189" formatCode="0_);[Red]\(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"/>
        <family val="2"/>
        <charset val="13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4" formatCode="0.00%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4" formatCode="0.00%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7" formatCode="#,##0.00_ 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22"/>
        <color rgb="FFFA7D00"/>
        <name val="等线"/>
        <family val="3"/>
        <charset val="134"/>
        <scheme val="none"/>
      </font>
      <numFmt numFmtId="14" formatCode="0.00%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6"/>
        <color theme="7" tint="-0.249977111117893"/>
        <name val="Microsoft YaHei UI"/>
        <family val="2"/>
        <charset val="134"/>
        <scheme val="none"/>
      </font>
      <numFmt numFmtId="14" formatCode="0.00%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4" formatCode="0.00%"/>
      <alignment horizontal="right" vertical="bottom" textRotation="0" wrapText="0" indent="1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6"/>
        <color theme="7" tint="-0.249977111117893"/>
        <name val="Microsoft YaHei UI"/>
        <family val="2"/>
        <charset val="134"/>
        <scheme val="none"/>
      </font>
      <numFmt numFmtId="12" formatCode="&quot;¥&quot;#,##0.00;[Red]&quot;¥&quot;\-#,##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1" formatCode="&quot;¥&quot;#,##0.00;&quot;¥&quot;\-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2" formatCode="&quot;¥&quot;#,##0.00;[Red]&quot;¥&quot;\-#,##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1" formatCode="&quot;¥&quot;#,##0.00;&quot;¥&quot;\-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2" formatCode="&quot;¥&quot;#,##0.00;[Red]&quot;¥&quot;\-#,##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1" formatCode="&quot;¥&quot;#,##0.00;&quot;¥&quot;\-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2" formatCode="&quot;¥&quot;#,##0.00;[Red]&quot;¥&quot;\-#,##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1" formatCode="&quot;¥&quot;#,##0.00;&quot;¥&quot;\-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2" formatCode="&quot;¥&quot;#,##0.00;[Red]&quot;¥&quot;\-#,##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1" formatCode="&quot;¥&quot;#,##0.00;&quot;¥&quot;\-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2" formatCode="&quot;¥&quot;#,##0.00;[Red]&quot;¥&quot;\-#,##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83" formatCode="&quot;¥&quot;#,##0.00_);[Red]\(&quot;¥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7" formatCode="#,##0.00_ 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79" formatCode="_ [$¥-804]* #,##0.00_ ;_ [$¥-804]* \-#,##0.00_ ;_ [$¥-804]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  <numFmt numFmtId="179" formatCode="_ [$¥-804]* #,##0.00_ ;_ [$¥-804]* \-#,##0.00_ ;_ [$¥-804]* &quot;-&quot;??_ ;_ @_ "/>
      <alignment horizontal="left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rgb="FFFA7D00"/>
        <name val="等线"/>
        <family val="3"/>
        <charset val="134"/>
        <scheme val="none"/>
      </font>
      <numFmt numFmtId="14" formatCode="0.00%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medium">
          <color indexed="64"/>
        </right>
        <top style="thin">
          <color rgb="FF7F7F7F"/>
        </top>
        <bottom style="thin">
          <color rgb="FF7F7F7F"/>
        </bottom>
      </border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ill>
        <patternFill patternType="solid">
          <fgColor rgb="FFFF0000"/>
          <bgColor rgb="FF000000"/>
        </patternFill>
      </fill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1"/>
      </font>
      <fill>
        <patternFill patternType="none">
          <bgColor auto="1"/>
        </patternFill>
      </fill>
      <border>
        <left/>
        <right/>
        <top style="thin">
          <color theme="0" tint="-0.14996795556505021"/>
        </top>
        <bottom style="thin">
          <color theme="1" tint="0.499984740745262"/>
        </bottom>
        <vertical style="thin">
          <color theme="0" tint="-0.14996795556505021"/>
        </vertical>
        <horizontal/>
      </border>
    </dxf>
    <dxf>
      <font>
        <b/>
        <i val="0"/>
        <color theme="1"/>
      </font>
      <fill>
        <patternFill patternType="none">
          <bgColor auto="1"/>
        </patternFill>
      </fill>
      <border>
        <left/>
        <right/>
        <top style="thin">
          <color theme="1" tint="0.499984740745262"/>
        </top>
        <bottom style="thin">
          <color theme="0" tint="-0.14996795556505021"/>
        </bottom>
        <vertical/>
        <horizontal/>
      </border>
    </dxf>
    <dxf>
      <font>
        <b val="0"/>
        <i val="0"/>
        <color theme="1"/>
      </font>
      <fill>
        <patternFill patternType="none">
          <bgColor auto="1"/>
        </patternFill>
      </fill>
      <border diagonalUp="1" diagonalDown="0">
        <left/>
        <right/>
        <top/>
        <bottom/>
        <diagonal style="thin">
          <color theme="0" tint="-0.14993743705557422"/>
        </diagonal>
        <vertical style="thin">
          <color theme="0" tint="-0.14993743705557422"/>
        </vertical>
        <horizontal style="thin">
          <color theme="0" tint="-0.14993743705557422"/>
        </horizontal>
      </border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1"/>
      </font>
      <fill>
        <patternFill patternType="none">
          <bgColor auto="1"/>
        </patternFill>
      </fill>
      <border>
        <left/>
        <right/>
        <top style="thin">
          <color theme="0" tint="-0.14996795556505021"/>
        </top>
        <bottom style="thin">
          <color theme="1" tint="0.499984740745262"/>
        </bottom>
        <vertical style="thin">
          <color theme="0" tint="-0.14996795556505021"/>
        </vertical>
        <horizontal/>
      </border>
    </dxf>
    <dxf>
      <font>
        <b/>
        <i val="0"/>
        <color theme="1"/>
      </font>
      <fill>
        <patternFill patternType="none">
          <bgColor auto="1"/>
        </patternFill>
      </fill>
      <border>
        <left/>
        <right/>
        <top style="thin">
          <color theme="1" tint="0.499984740745262"/>
        </top>
        <bottom style="thin">
          <color theme="0" tint="-0.14996795556505021"/>
        </bottom>
        <vertical/>
        <horizontal/>
      </border>
    </dxf>
    <dxf>
      <font>
        <b val="0"/>
        <i val="0"/>
        <color theme="1"/>
      </font>
      <fill>
        <patternFill patternType="none">
          <bgColor auto="1"/>
        </patternFill>
      </fill>
      <border diagonalUp="1" diagonalDown="0">
        <left/>
        <right/>
        <top/>
        <bottom/>
        <diagonal style="thin">
          <color theme="0" tint="-0.14993743705557422"/>
        </diagonal>
        <vertical style="thin">
          <color theme="0" tint="-0.14993743705557422"/>
        </vertical>
        <horizontal style="thin">
          <color theme="0" tint="-0.14993743705557422"/>
        </horizontal>
      </border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1"/>
      </font>
      <fill>
        <patternFill patternType="none">
          <bgColor auto="1"/>
        </patternFill>
      </fill>
      <border>
        <left/>
        <right/>
        <top style="thin">
          <color theme="0" tint="-0.14996795556505021"/>
        </top>
        <bottom style="thin">
          <color theme="1" tint="0.499984740745262"/>
        </bottom>
        <vertical style="thin">
          <color theme="0" tint="-0.14996795556505021"/>
        </vertical>
        <horizontal/>
      </border>
    </dxf>
    <dxf>
      <font>
        <b/>
        <i val="0"/>
        <color theme="1"/>
      </font>
      <fill>
        <patternFill patternType="none">
          <bgColor auto="1"/>
        </patternFill>
      </fill>
      <border>
        <left/>
        <right/>
        <top style="thin">
          <color theme="1" tint="0.499984740745262"/>
        </top>
        <bottom style="thin">
          <color theme="0" tint="-0.14996795556505021"/>
        </bottom>
        <vertical/>
        <horizontal/>
      </border>
    </dxf>
    <dxf>
      <font>
        <b val="0"/>
        <i val="0"/>
        <color theme="1"/>
      </font>
      <fill>
        <patternFill patternType="none">
          <bgColor auto="1"/>
        </patternFill>
      </fill>
      <border diagonalUp="1" diagonalDown="0">
        <left/>
        <right/>
        <top/>
        <bottom/>
        <diagonal style="thin">
          <color theme="0" tint="-0.14993743705557422"/>
        </diagonal>
        <vertical style="thin">
          <color theme="0" tint="-0.14993743705557422"/>
        </vertical>
        <horizontal style="thin">
          <color theme="0" tint="-0.14993743705557422"/>
        </horizontal>
      </border>
    </dxf>
    <dxf>
      <font>
        <b/>
        <i val="0"/>
        <color theme="0"/>
      </font>
      <fill>
        <patternFill>
          <bgColor theme="5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0"/>
      </font>
      <fill>
        <patternFill patternType="solid">
          <bgColor theme="1"/>
        </patternFill>
      </fill>
      <border diagonalUp="0" diagonalDown="0"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/>
        <right/>
        <top/>
        <bottom/>
        <vertical/>
        <horizontal/>
      </border>
    </dxf>
  </dxfs>
  <tableStyles count="6" defaultTableStyle="表样式 1" defaultPivotStyle="PivotStyleLight16">
    <tableStyle name="styleCustomSlicer" pivot="0" table="0" count="10" xr9:uid="{00000000-0011-0000-FFFF-FFFF00000000}">
      <tableStyleElement type="wholeTable" dxfId="643"/>
      <tableStyleElement type="headerRow" dxfId="642"/>
    </tableStyle>
    <tableStyle name="表样式 1" pivot="0" count="1" xr9:uid="{B39AC51E-1EDE-4B90-A1DD-5AFBB3B49EA9}">
      <tableStyleElement type="wholeTable" dxfId="641"/>
    </tableStyle>
    <tableStyle name="投资跟踪表" pivot="0" count="2" xr9:uid="{F0046D48-DE6A-4EAC-8F36-E5FB466C2737}">
      <tableStyleElement type="wholeTable" dxfId="640"/>
      <tableStyleElement type="headerRow" dxfId="639"/>
    </tableStyle>
    <tableStyle name="摘要表" pivot="0" count="6" xr9:uid="{00000000-0011-0000-FFFF-FFFF01000000}">
      <tableStyleElement type="wholeTable" dxfId="638"/>
      <tableStyleElement type="headerRow" dxfId="637"/>
      <tableStyleElement type="totalRow" dxfId="636"/>
      <tableStyleElement type="firstColumn" dxfId="635"/>
      <tableStyleElement type="lastColumn" dxfId="634"/>
      <tableStyleElement type="firstColumnStripe" dxfId="633"/>
    </tableStyle>
    <tableStyle name="摘要表 2" pivot="0" count="6" xr9:uid="{D9E671F6-C0C9-4E6E-B3E5-F9A51ECE6605}">
      <tableStyleElement type="wholeTable" dxfId="632"/>
      <tableStyleElement type="headerRow" dxfId="631"/>
      <tableStyleElement type="totalRow" dxfId="630"/>
      <tableStyleElement type="firstColumn" dxfId="629"/>
      <tableStyleElement type="lastColumn" dxfId="628"/>
      <tableStyleElement type="firstColumnStripe" dxfId="627"/>
    </tableStyle>
    <tableStyle name="摘要表 3" pivot="0" count="6" xr9:uid="{0B860C1E-ECBF-4215-A491-9E786CA8DE34}">
      <tableStyleElement type="wholeTable" dxfId="626"/>
      <tableStyleElement type="headerRow" dxfId="625"/>
      <tableStyleElement type="totalRow" dxfId="624"/>
      <tableStyleElement type="firstColumn" dxfId="623"/>
      <tableStyleElement type="lastColumn" dxfId="622"/>
      <tableStyleElement type="firstColumnStripe" dxfId="621"/>
    </tableStyle>
  </tableStyles>
  <colors>
    <mruColors>
      <color rgb="FF00D661"/>
      <color rgb="FF29C7FF"/>
      <color rgb="FFF65606"/>
      <color rgb="FFFF7C80"/>
      <color rgb="FFFF99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tyleCustom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theme" Target="theme/theme1.xml" /><Relationship Id="rId26" Type="http://schemas.microsoft.com/office/2017/06/relationships/rdSupportingPropertyBag" Target="richData/rdsupportingpropertybag.xml" /><Relationship Id="rId3" Type="http://schemas.openxmlformats.org/officeDocument/2006/relationships/worksheet" Target="worksheets/sheet3.xml" /><Relationship Id="rId21" Type="http://schemas.openxmlformats.org/officeDocument/2006/relationships/sheetMetadata" Target="metadata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externalLink" Target="externalLinks/externalLink1.xml" /><Relationship Id="rId25" Type="http://schemas.microsoft.com/office/2017/06/relationships/rdSupportingPropertyBagStructure" Target="richData/rdsupportingpropertybagstructure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haredStrings" Target="sharedStrings.xml" /><Relationship Id="rId29" Type="http://schemas.microsoft.com/office/2022/11/relationships/FeaturePropertyBag" Target="featurePropertyBag/featurePropertyBag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microsoft.com/office/2017/06/relationships/richStyles" Target="richData/rich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microsoft.com/office/2017/06/relationships/rdRichValueStructure" Target="richData/rdrichvaluestructure.xml" /><Relationship Id="rId28" Type="http://schemas.microsoft.com/office/2017/10/relationships/person" Target="persons/person.xml" /><Relationship Id="rId10" Type="http://schemas.openxmlformats.org/officeDocument/2006/relationships/worksheet" Target="worksheets/sheet10.xml" /><Relationship Id="rId19" Type="http://schemas.openxmlformats.org/officeDocument/2006/relationships/styles" Target="styles.xml" /><Relationship Id="rId31" Type="http://schemas.openxmlformats.org/officeDocument/2006/relationships/customXml" Target="../customXml/item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microsoft.com/office/2017/06/relationships/rdRichValue" Target="richData/rdrichvalue.xml" /><Relationship Id="rId27" Type="http://schemas.microsoft.com/office/2017/06/relationships/rdRichValueTypes" Target="richData/rdRichValueTypes.xml" /><Relationship Id="rId30" Type="http://schemas.openxmlformats.org/officeDocument/2006/relationships/calcChain" Target="calcChain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542952663409204E-2"/>
          <c:y val="3.7210342265680076E-2"/>
          <c:w val="0.78729195725246037"/>
          <c:h val="0.930818349489771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总资产摘要!$A$5</c:f>
              <c:strCache>
                <c:ptCount val="1"/>
                <c:pt idx="0">
                  <c:v>东莞农村商业银行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总资产摘要!$B$5:$M$5</c:f>
              <c:numCache>
                <c:formatCode>"¥"#,##0.00_);[Red]\("¥"#,##0.00\)</c:formatCode>
                <c:ptCount val="12"/>
                <c:pt idx="0">
                  <c:v>46095</c:v>
                </c:pt>
                <c:pt idx="1">
                  <c:v>0.01</c:v>
                </c:pt>
                <c:pt idx="2">
                  <c:v>0.01</c:v>
                </c:pt>
                <c:pt idx="3">
                  <c:v>0</c:v>
                </c:pt>
                <c:pt idx="4">
                  <c:v>0</c:v>
                </c:pt>
                <c:pt idx="5">
                  <c:v>81466.09</c:v>
                </c:pt>
                <c:pt idx="6">
                  <c:v>81503.45</c:v>
                </c:pt>
                <c:pt idx="7" formatCode="&quot;¥&quot;#,##0.00_);[Red]\(&quot;¥&quot;#,##0.00\)">
                  <c:v>81591.429999999993</c:v>
                </c:pt>
                <c:pt idx="8" formatCode="&quot;¥&quot;#,##0.00_);[Red]\(&quot;¥&quot;#,##0.00\)">
                  <c:v>77615.66</c:v>
                </c:pt>
                <c:pt idx="9" formatCode="&quot;¥&quot;#,##0.00_);[Red]\(&quot;¥&quot;#,##0.00\)">
                  <c:v>73876.460000000006</c:v>
                </c:pt>
                <c:pt idx="10" formatCode="&quot;¥&quot;#,##0.00_);[Red]\(&quot;¥&quot;#,##0.00\)">
                  <c:v>69682.36</c:v>
                </c:pt>
                <c:pt idx="11" formatCode="&quot;¥&quot;#,##0.00_);[Red]\(&quot;¥&quot;#,##0.00\)">
                  <c:v>56685.01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0-4528-AE8C-51B058EA99EB}"/>
            </c:ext>
          </c:extLst>
        </c:ser>
        <c:ser>
          <c:idx val="1"/>
          <c:order val="1"/>
          <c:tx>
            <c:strRef>
              <c:f>总资产摘要!$A$6</c:f>
              <c:strCache>
                <c:ptCount val="1"/>
                <c:pt idx="0">
                  <c:v>招商银行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总资产摘要!$B$6:$M$6</c:f>
              <c:numCache>
                <c:formatCode>"¥"#,##0.00_);[Red]\("¥"#,##0.00\)</c:formatCode>
                <c:ptCount val="12"/>
                <c:pt idx="0">
                  <c:v>192935.76</c:v>
                </c:pt>
                <c:pt idx="1">
                  <c:v>260187.53</c:v>
                </c:pt>
                <c:pt idx="2">
                  <c:v>429074.87</c:v>
                </c:pt>
                <c:pt idx="3">
                  <c:v>353671.01</c:v>
                </c:pt>
                <c:pt idx="4">
                  <c:v>372604.37</c:v>
                </c:pt>
                <c:pt idx="5">
                  <c:v>153397.45000000001</c:v>
                </c:pt>
                <c:pt idx="6">
                  <c:v>162079.94</c:v>
                </c:pt>
                <c:pt idx="7" formatCode="&quot;¥&quot;#,##0.00_);[Red]\(&quot;¥&quot;#,##0.00\)">
                  <c:v>169392.9</c:v>
                </c:pt>
                <c:pt idx="8" formatCode="&quot;¥&quot;#,##0.00_);[Red]\(&quot;¥&quot;#,##0.00\)">
                  <c:v>172458.4</c:v>
                </c:pt>
                <c:pt idx="9" formatCode="&quot;¥&quot;#,##0.00_);[Red]\(&quot;¥&quot;#,##0.00\)">
                  <c:v>168232.73</c:v>
                </c:pt>
                <c:pt idx="10" formatCode="&quot;¥&quot;#,##0.00_);[Red]\(&quot;¥&quot;#,##0.00\)">
                  <c:v>173631.04</c:v>
                </c:pt>
                <c:pt idx="11" formatCode="&quot;¥&quot;#,##0.00_);[Red]\(&quot;¥&quot;#,##0.00\)">
                  <c:v>187595.64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0-4528-AE8C-51B058EA99EB}"/>
            </c:ext>
          </c:extLst>
        </c:ser>
        <c:ser>
          <c:idx val="2"/>
          <c:order val="2"/>
          <c:tx>
            <c:strRef>
              <c:f>总资产摘要!$A$7</c:f>
              <c:strCache>
                <c:ptCount val="1"/>
                <c:pt idx="0">
                  <c:v>中国银行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总资产摘要!$B$7:$M$7</c:f>
              <c:numCache>
                <c:formatCode>"¥"#,##0.00_);[Red]\("¥"#,##0.00\)</c:formatCode>
                <c:ptCount val="12"/>
                <c:pt idx="0">
                  <c:v>2119.37</c:v>
                </c:pt>
                <c:pt idx="1">
                  <c:v>2084.81</c:v>
                </c:pt>
                <c:pt idx="2">
                  <c:v>1973.89</c:v>
                </c:pt>
                <c:pt idx="3">
                  <c:v>53.08</c:v>
                </c:pt>
                <c:pt idx="4">
                  <c:v>52.95</c:v>
                </c:pt>
                <c:pt idx="5">
                  <c:v>10458.89</c:v>
                </c:pt>
                <c:pt idx="6">
                  <c:v>12612.22</c:v>
                </c:pt>
                <c:pt idx="7" formatCode="&quot;¥&quot;#,##0.00_);[Red]\(&quot;¥&quot;#,##0.00\)">
                  <c:v>10057.35</c:v>
                </c:pt>
                <c:pt idx="8" formatCode="&quot;¥&quot;#,##0.00_);[Red]\(&quot;¥&quot;#,##0.00\)">
                  <c:v>294.56</c:v>
                </c:pt>
                <c:pt idx="9" formatCode="&quot;¥&quot;#,##0.00_);[Red]\(&quot;¥&quot;#,##0.00\)">
                  <c:v>6.86</c:v>
                </c:pt>
                <c:pt idx="10" formatCode="&quot;¥&quot;#,##0.00_);[Red]\(&quot;¥&quot;#,##0.00\)">
                  <c:v>0.32</c:v>
                </c:pt>
                <c:pt idx="11" formatCode="&quot;¥&quot;#,##0.00_);[Red]\(&quot;¥&quot;#,##0.00\)">
                  <c:v>468.18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D0-4528-AE8C-51B058EA99EB}"/>
            </c:ext>
          </c:extLst>
        </c:ser>
        <c:ser>
          <c:idx val="3"/>
          <c:order val="3"/>
          <c:tx>
            <c:strRef>
              <c:f>总资产摘要!$A$8</c:f>
              <c:strCache>
                <c:ptCount val="1"/>
                <c:pt idx="0">
                  <c:v>中银香港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总资产摘要!$B$8:$M$8</c:f>
              <c:numCache>
                <c:formatCode>"¥"#,##0.00_);[Red]\("¥"#,##0.00\)</c:formatCode>
                <c:ptCount val="12"/>
                <c:pt idx="0">
                  <c:v>9.1669999999999998E-3</c:v>
                </c:pt>
                <c:pt idx="1">
                  <c:v>9.1669999999999998E-3</c:v>
                </c:pt>
                <c:pt idx="2">
                  <c:v>9.1669999999999998E-3</c:v>
                </c:pt>
                <c:pt idx="3">
                  <c:v>9.1669999999999998E-3</c:v>
                </c:pt>
                <c:pt idx="4">
                  <c:v>9.1669999999999998E-3</c:v>
                </c:pt>
                <c:pt idx="5">
                  <c:v>5701.12</c:v>
                </c:pt>
                <c:pt idx="6">
                  <c:v>7.1264000000000008E-2</c:v>
                </c:pt>
                <c:pt idx="7" formatCode="&quot;¥&quot;#,##0.00_);[Red]\(&quot;¥&quot;#,##0.00\)">
                  <c:v>9.1669999999999998E-3</c:v>
                </c:pt>
                <c:pt idx="8" formatCode="&quot;¥&quot;#,##0.00_);[Red]\(&quot;¥&quot;#,##0.00\)">
                  <c:v>9.1670000000000001E-2</c:v>
                </c:pt>
                <c:pt idx="9" formatCode="&quot;¥&quot;#,##0.00_);[Red]\(&quot;¥&quot;#,##0.00\)">
                  <c:v>0</c:v>
                </c:pt>
                <c:pt idx="10" formatCode="&quot;¥&quot;#,##0.00_);[Red]\(&quot;¥&quot;#,##0.00\)">
                  <c:v>9.1669999999999998E-3</c:v>
                </c:pt>
                <c:pt idx="11" formatCode="&quot;¥&quot;#,##0.00_);[Red]\(&quot;¥&quot;#,##0.00\)">
                  <c:v>9.1669999999999998E-3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D0-4528-AE8C-51B058EA99EB}"/>
            </c:ext>
          </c:extLst>
        </c:ser>
        <c:ser>
          <c:idx val="4"/>
          <c:order val="4"/>
          <c:tx>
            <c:strRef>
              <c:f>总资产摘要!$A$9</c:f>
              <c:strCache>
                <c:ptCount val="1"/>
                <c:pt idx="0">
                  <c:v>支付宝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总资产摘要!$B$9:$M$9</c:f>
              <c:numCache>
                <c:formatCode>"¥"#,##0.00_);[Red]\("¥"#,##0.00\)</c:formatCode>
                <c:ptCount val="12"/>
                <c:pt idx="0">
                  <c:v>0.2</c:v>
                </c:pt>
                <c:pt idx="1">
                  <c:v>10086.780000000001</c:v>
                </c:pt>
                <c:pt idx="2">
                  <c:v>0.02</c:v>
                </c:pt>
                <c:pt idx="3">
                  <c:v>0.04</c:v>
                </c:pt>
                <c:pt idx="4">
                  <c:v>1.04</c:v>
                </c:pt>
                <c:pt idx="5">
                  <c:v>310.98</c:v>
                </c:pt>
                <c:pt idx="6">
                  <c:v>46.54</c:v>
                </c:pt>
                <c:pt idx="7" formatCode="&quot;¥&quot;#,##0.00_);[Red]\(&quot;¥&quot;#,##0.00\)">
                  <c:v>1.96</c:v>
                </c:pt>
                <c:pt idx="8" formatCode="&quot;¥&quot;#,##0.00_);[Red]\(&quot;¥&quot;#,##0.00\)">
                  <c:v>0.96</c:v>
                </c:pt>
                <c:pt idx="9" formatCode="&quot;¥&quot;#,##0.00_);[Red]\(&quot;¥&quot;#,##0.00\)">
                  <c:v>1.1499999999999999</c:v>
                </c:pt>
                <c:pt idx="10" formatCode="&quot;¥&quot;#,##0.00_);[Red]\(&quot;¥&quot;#,##0.00\)">
                  <c:v>0.15</c:v>
                </c:pt>
                <c:pt idx="11" formatCode="&quot;¥&quot;#,##0.00_);[Red]\(&quot;¥&quot;#,##0.00\)">
                  <c:v>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D0-4528-AE8C-51B058EA99EB}"/>
            </c:ext>
          </c:extLst>
        </c:ser>
        <c:ser>
          <c:idx val="5"/>
          <c:order val="5"/>
          <c:tx>
            <c:strRef>
              <c:f>总资产摘要!$A$10</c:f>
              <c:strCache>
                <c:ptCount val="1"/>
                <c:pt idx="0">
                  <c:v>微信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总资产摘要!$B$10:$M$10</c:f>
              <c:numCache>
                <c:formatCode>"¥"#,##0.00_);[Red]\("¥"#,##0.00\)</c:formatCode>
                <c:ptCount val="12"/>
                <c:pt idx="0">
                  <c:v>134.86000000000001</c:v>
                </c:pt>
                <c:pt idx="1">
                  <c:v>866.21</c:v>
                </c:pt>
                <c:pt idx="2">
                  <c:v>7.34</c:v>
                </c:pt>
                <c:pt idx="3">
                  <c:v>1.9</c:v>
                </c:pt>
                <c:pt idx="4">
                  <c:v>9.9</c:v>
                </c:pt>
                <c:pt idx="5">
                  <c:v>1286.0900000000001</c:v>
                </c:pt>
                <c:pt idx="6">
                  <c:v>2.9299999999999997</c:v>
                </c:pt>
                <c:pt idx="7" formatCode="&quot;¥&quot;#,##0.00_);[Red]\(&quot;¥&quot;#,##0.00\)">
                  <c:v>5.9499999999999993</c:v>
                </c:pt>
                <c:pt idx="8" formatCode="&quot;¥&quot;#,##0.00_);[Red]\(&quot;¥&quot;#,##0.00\)">
                  <c:v>2</c:v>
                </c:pt>
                <c:pt idx="9" formatCode="&quot;¥&quot;#,##0.00_);[Red]\(&quot;¥&quot;#,##0.00\)">
                  <c:v>160.92999999999998</c:v>
                </c:pt>
                <c:pt idx="10" formatCode="&quot;¥&quot;#,##0.00_);[Red]\(&quot;¥&quot;#,##0.00\)">
                  <c:v>0.9</c:v>
                </c:pt>
                <c:pt idx="11" formatCode="&quot;¥&quot;#,##0.00_);[Red]\(&quot;¥&quot;#,##0.00\)">
                  <c:v>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1-43CD-9699-5CB09297F50A}"/>
            </c:ext>
          </c:extLst>
        </c:ser>
        <c:ser>
          <c:idx val="6"/>
          <c:order val="6"/>
          <c:tx>
            <c:strRef>
              <c:f>总资产摘要!$A$11</c:f>
              <c:strCache>
                <c:ptCount val="1"/>
                <c:pt idx="0">
                  <c:v>东方财富</c:v>
                </c:pt>
              </c:strCache>
            </c:strRef>
          </c:tx>
          <c:spPr>
            <a:solidFill>
              <a:schemeClr val="bg2">
                <a:lumMod val="50000"/>
                <a:alpha val="62000"/>
              </a:schemeClr>
            </a:solidFill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总资产摘要!$B$11:$M$11</c:f>
              <c:numCache>
                <c:formatCode>"¥"#,##0.00_);[Red]\("¥"#,##0.00\)</c:formatCode>
                <c:ptCount val="12"/>
                <c:pt idx="0">
                  <c:v>41299.21</c:v>
                </c:pt>
                <c:pt idx="1">
                  <c:v>42623.14</c:v>
                </c:pt>
                <c:pt idx="2">
                  <c:v>54889.23</c:v>
                </c:pt>
                <c:pt idx="3">
                  <c:v>140024.49</c:v>
                </c:pt>
                <c:pt idx="4">
                  <c:v>140296.64000000001</c:v>
                </c:pt>
                <c:pt idx="5">
                  <c:v>21009.23</c:v>
                </c:pt>
                <c:pt idx="6">
                  <c:v>20932.77</c:v>
                </c:pt>
                <c:pt idx="7" formatCode="&quot;¥&quot;#,##0.00_);[Red]\(&quot;¥&quot;#,##0.00\)">
                  <c:v>21072.81</c:v>
                </c:pt>
                <c:pt idx="8" formatCode="&quot;¥&quot;#,##0.00_);[Red]\(&quot;¥&quot;#,##0.00\)">
                  <c:v>20901.54</c:v>
                </c:pt>
                <c:pt idx="9" formatCode="&quot;¥&quot;#,##0.00_);[Red]\(&quot;¥&quot;#,##0.00\)">
                  <c:v>21785.1</c:v>
                </c:pt>
                <c:pt idx="10" formatCode="&quot;¥&quot;#,##0.00_);[Red]\(&quot;¥&quot;#,##0.00\)">
                  <c:v>22484.1</c:v>
                </c:pt>
                <c:pt idx="11" formatCode="&quot;¥&quot;#,##0.00_);[Red]\(&quot;¥&quot;#,##0.00\)">
                  <c:v>26416.7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E1-43CD-9699-5CB09297F50A}"/>
            </c:ext>
          </c:extLst>
        </c:ser>
        <c:ser>
          <c:idx val="7"/>
          <c:order val="7"/>
          <c:tx>
            <c:strRef>
              <c:f>总资产摘要!$A$12</c:f>
              <c:strCache>
                <c:ptCount val="1"/>
                <c:pt idx="0">
                  <c:v>长桥证券</c:v>
                </c:pt>
              </c:strCache>
            </c:strRef>
          </c:tx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总资产摘要!$B$12:$M$12</c:f>
              <c:numCache>
                <c:formatCode>"¥"#,##0.00_);[Red]\("¥"#,##0.00\)</c:formatCode>
                <c:ptCount val="12"/>
                <c:pt idx="0">
                  <c:v>46588.66</c:v>
                </c:pt>
                <c:pt idx="1">
                  <c:v>48786.92</c:v>
                </c:pt>
                <c:pt idx="2">
                  <c:v>48266.09</c:v>
                </c:pt>
                <c:pt idx="3">
                  <c:v>48651.67</c:v>
                </c:pt>
                <c:pt idx="4">
                  <c:v>49834.35</c:v>
                </c:pt>
                <c:pt idx="5">
                  <c:v>8484.92</c:v>
                </c:pt>
                <c:pt idx="6">
                  <c:v>14584.32</c:v>
                </c:pt>
                <c:pt idx="7" formatCode="&quot;¥&quot;#,##0.00_);[Red]\(&quot;¥&quot;#,##0.00\)">
                  <c:v>14975.57</c:v>
                </c:pt>
                <c:pt idx="8" formatCode="&quot;¥&quot;#,##0.00_);[Red]\(&quot;¥&quot;#,##0.00\)">
                  <c:v>22866.26</c:v>
                </c:pt>
                <c:pt idx="9" formatCode="&quot;¥&quot;#,##0.00_);[Red]\(&quot;¥&quot;#,##0.00\)">
                  <c:v>43401.35</c:v>
                </c:pt>
                <c:pt idx="10" formatCode="&quot;¥&quot;#,##0.00_);[Red]\(&quot;¥&quot;#,##0.00\)">
                  <c:v>46395.65</c:v>
                </c:pt>
                <c:pt idx="11" formatCode="&quot;¥&quot;#,##0.00_);[Red]\(&quot;¥&quot;#,##0.00\)">
                  <c:v>45130.43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E1-43CD-9699-5CB09297F50A}"/>
            </c:ext>
          </c:extLst>
        </c:ser>
        <c:ser>
          <c:idx val="8"/>
          <c:order val="8"/>
          <c:tx>
            <c:strRef>
              <c:f>总资产摘要!$A$13</c:f>
              <c:strCache>
                <c:ptCount val="1"/>
                <c:pt idx="0">
                  <c:v>币安Biance</c:v>
                </c:pt>
              </c:strCache>
            </c:strRef>
          </c:tx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总资产摘要!$B$13:$M$13</c:f>
              <c:numCache>
                <c:formatCode>"¥"#,##0.00_);[Red]\("¥"#,##0.00\)</c:formatCode>
                <c:ptCount val="12"/>
                <c:pt idx="0">
                  <c:v>8846.0794000000005</c:v>
                </c:pt>
                <c:pt idx="1">
                  <c:v>7530.4296000000004</c:v>
                </c:pt>
                <c:pt idx="2">
                  <c:v>7845.43</c:v>
                </c:pt>
                <c:pt idx="3">
                  <c:v>7988.15</c:v>
                </c:pt>
                <c:pt idx="4">
                  <c:v>8321.18</c:v>
                </c:pt>
                <c:pt idx="5">
                  <c:v>9117.5229999999992</c:v>
                </c:pt>
                <c:pt idx="6">
                  <c:v>9103.7375000000011</c:v>
                </c:pt>
                <c:pt idx="7" formatCode="&quot;¥&quot;#,##0.00_);[Red]\(&quot;¥&quot;#,##0.00\)">
                  <c:v>9129.9894000000004</c:v>
                </c:pt>
                <c:pt idx="8" formatCode="&quot;¥&quot;#,##0.00_);[Red]\(&quot;¥&quot;#,##0.00\)">
                  <c:v>8962.8624</c:v>
                </c:pt>
                <c:pt idx="9" formatCode="&quot;¥&quot;#,##0.00_);[Red]\(&quot;¥&quot;#,##0.00\)">
                  <c:v>8791.1157999999996</c:v>
                </c:pt>
                <c:pt idx="10" formatCode="&quot;¥&quot;#,##0.00_);[Red]\(&quot;¥&quot;#,##0.00\)">
                  <c:v>8960.1876000000011</c:v>
                </c:pt>
                <c:pt idx="11" formatCode="&quot;¥&quot;#,##0.00_);[Red]\(&quot;¥&quot;#,##0.00\)">
                  <c:v>8644.3212000000003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E-4B21-8CE1-311CBFF507AC}"/>
            </c:ext>
          </c:extLst>
        </c:ser>
        <c:ser>
          <c:idx val="9"/>
          <c:order val="9"/>
          <c:tx>
            <c:strRef>
              <c:f>总资产摘要!#REF!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BE-4B21-8CE1-311CBFF50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642528"/>
        <c:axId val="237643312"/>
      </c:barChart>
      <c:lineChart>
        <c:grouping val="standard"/>
        <c:varyColors val="0"/>
        <c:ser>
          <c:idx val="10"/>
          <c:order val="10"/>
          <c:tx>
            <c:v>汇总</c:v>
          </c:tx>
          <c:spPr>
            <a:ln w="57150">
              <a:prstDash val="sysDash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总资产摘要!$B$14:$M$14</c:f>
              <c:numCache>
                <c:formatCode>"¥"#,##0.00_);[Red]\("¥"#,##0.00\)</c:formatCode>
                <c:ptCount val="12"/>
                <c:pt idx="0" formatCode="_ [$¥-804]* #,##0.00_ ;_ [$¥-804]* \-#,##0.00_ ;_ [$¥-804]* &quot;-&quot;??_ ;_ @_ ">
                  <c:v>338019.148567</c:v>
                </c:pt>
                <c:pt idx="1">
                  <c:v>372165.83876700007</c:v>
                </c:pt>
                <c:pt idx="2">
                  <c:v>542056.88916700007</c:v>
                </c:pt>
                <c:pt idx="3">
                  <c:v>550390.34916700004</c:v>
                </c:pt>
                <c:pt idx="4">
                  <c:v>571120.43916700012</c:v>
                </c:pt>
                <c:pt idx="5">
                  <c:v>291232.29299999995</c:v>
                </c:pt>
                <c:pt idx="6">
                  <c:v>300865.978764</c:v>
                </c:pt>
                <c:pt idx="7" formatCode="&quot;¥&quot;#,##0.00_);\(&quot;¥&quot;#,##0.00\)">
                  <c:v>306227.96856700006</c:v>
                </c:pt>
                <c:pt idx="8" formatCode="&quot;¥&quot;#,##0.00_);\(&quot;¥&quot;#,##0.00\)">
                  <c:v>303102.33406999998</c:v>
                </c:pt>
                <c:pt idx="9" formatCode="&quot;¥&quot;#,##0.00_);\(&quot;¥&quot;#,##0.00\)">
                  <c:v>316255.69579999999</c:v>
                </c:pt>
                <c:pt idx="10" formatCode="&quot;¥&quot;#,##0.00_);\(&quot;¥&quot;#,##0.00\)">
                  <c:v>321154.71676700003</c:v>
                </c:pt>
                <c:pt idx="11" formatCode="&quot;¥&quot;#,##0.00_);\(&quot;¥&quot;#,##0.00\)">
                  <c:v>325004.85036700004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54-4B6A-9451-3B05E136F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642528"/>
        <c:axId val="237643312"/>
      </c:lineChart>
      <c:catAx>
        <c:axId val="237642528"/>
        <c:scaling>
          <c:orientation val="minMax"/>
        </c:scaling>
        <c:delete val="1"/>
        <c:axPos val="b"/>
        <c:majorGridlines>
          <c:spPr>
            <a:ln w="19050"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numFmt formatCode="General" sourceLinked="0"/>
        <c:majorTickMark val="out"/>
        <c:minorTickMark val="none"/>
        <c:tickLblPos val="nextTo"/>
        <c:crossAx val="237643312"/>
        <c:crosses val="autoZero"/>
        <c:auto val="1"/>
        <c:lblAlgn val="ctr"/>
        <c:lblOffset val="100"/>
        <c:noMultiLvlLbl val="0"/>
      </c:catAx>
      <c:valAx>
        <c:axId val="2376433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  <a:alpha val="30000"/>
                </a:schemeClr>
              </a:solidFill>
            </a:ln>
          </c:spPr>
        </c:majorGridlines>
        <c:numFmt formatCode="#,##0;;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zh-CN"/>
          </a:p>
        </c:txPr>
        <c:crossAx val="237642528"/>
        <c:crosses val="autoZero"/>
        <c:crossBetween val="between"/>
      </c:valAx>
      <c:spPr>
        <a:noFill/>
      </c:spPr>
    </c:plotArea>
    <c:legend>
      <c:legendPos val="tr"/>
      <c:layout>
        <c:manualLayout>
          <c:xMode val="edge"/>
          <c:yMode val="edge"/>
          <c:x val="0.83013278952602365"/>
          <c:y val="9.6263622296608856E-2"/>
          <c:w val="0.11586594261640222"/>
          <c:h val="0.83151491859478055"/>
        </c:manualLayout>
      </c:layout>
      <c:overlay val="0"/>
      <c:txPr>
        <a:bodyPr/>
        <a:lstStyle/>
        <a:p>
          <a:pPr>
            <a:defRPr sz="1100" kern="0" spc="-10" baseline="0">
              <a:solidFill>
                <a:schemeClr val="tx1"/>
              </a:solidFill>
              <a:latin typeface="Microsoft YaHei UI" panose="020B0503020204020204" pitchFamily="34" charset="-122"/>
              <a:ea typeface="Microsoft YaHei UI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69688032437245"/>
          <c:y val="8.5115879994120971E-2"/>
          <c:w val="0.52978723906733771"/>
          <c:h val="0.9001300864594789"/>
        </c:manualLayout>
      </c:layout>
      <c:doughnutChart>
        <c:varyColors val="1"/>
        <c:ser>
          <c:idx val="0"/>
          <c:order val="0"/>
          <c:tx>
            <c:strRef>
              <c:f>总资产摘要!$B$4</c:f>
              <c:strCache>
                <c:ptCount val="1"/>
                <c:pt idx="0">
                  <c:v> 1月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3F-4418-8396-DA97D26888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3F-4418-8396-DA97D26888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3F-4418-8396-DA97D26888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3F-4418-8396-DA97D26888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3F-4418-8396-DA97D26888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3F-4418-8396-DA97D26888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3F-4418-8396-DA97D26888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3F-4418-8396-DA97D26888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3F-4418-8396-DA97D26888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03F-4418-8396-DA97D26888F3}"/>
              </c:ext>
            </c:extLst>
          </c:dPt>
          <c:cat>
            <c:strRef>
              <c:f>总资产摘要!$A$5:$A$14</c:f>
              <c:strCache>
                <c:ptCount val="9"/>
                <c:pt idx="0">
                  <c:v>东莞农村商业银行</c:v>
                </c:pt>
                <c:pt idx="1">
                  <c:v>招商银行</c:v>
                </c:pt>
                <c:pt idx="2">
                  <c:v>中国银行</c:v>
                </c:pt>
                <c:pt idx="3">
                  <c:v>中银香港</c:v>
                </c:pt>
                <c:pt idx="4">
                  <c:v>支付宝</c:v>
                </c:pt>
                <c:pt idx="5">
                  <c:v>微信</c:v>
                </c:pt>
                <c:pt idx="6">
                  <c:v>东方财富</c:v>
                </c:pt>
                <c:pt idx="7">
                  <c:v>长桥证券</c:v>
                </c:pt>
                <c:pt idx="8">
                  <c:v>币安Biance</c:v>
                </c:pt>
              </c:strCache>
            </c:strRef>
          </c:cat>
          <c:val>
            <c:numRef>
              <c:f>总资产摘要!$B$5:$B$14</c:f>
              <c:numCache>
                <c:formatCode>"¥"#,##0.00_);[Red]\("¥"#,##0.00\)</c:formatCode>
                <c:ptCount val="9"/>
                <c:pt idx="0">
                  <c:v>46095</c:v>
                </c:pt>
                <c:pt idx="1">
                  <c:v>192935.76</c:v>
                </c:pt>
                <c:pt idx="2">
                  <c:v>2119.37</c:v>
                </c:pt>
                <c:pt idx="3">
                  <c:v>9.1669999999999998E-3</c:v>
                </c:pt>
                <c:pt idx="4">
                  <c:v>0.2</c:v>
                </c:pt>
                <c:pt idx="5">
                  <c:v>134.86000000000001</c:v>
                </c:pt>
                <c:pt idx="6">
                  <c:v>41299.21</c:v>
                </c:pt>
                <c:pt idx="7">
                  <c:v>46588.66</c:v>
                </c:pt>
                <c:pt idx="8">
                  <c:v>8846.0794000000005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9-46D3-B166-488C6C9A8CFC}"/>
            </c:ext>
          </c:extLst>
        </c:ser>
        <c:ser>
          <c:idx val="1"/>
          <c:order val="1"/>
          <c:tx>
            <c:strRef>
              <c:f>总资产摘要!$C$4</c:f>
              <c:strCache>
                <c:ptCount val="1"/>
                <c:pt idx="0">
                  <c:v>2月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03F-4418-8396-DA97D26888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03F-4418-8396-DA97D26888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03F-4418-8396-DA97D26888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03F-4418-8396-DA97D26888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03F-4418-8396-DA97D26888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03F-4418-8396-DA97D26888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03F-4418-8396-DA97D26888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03F-4418-8396-DA97D26888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03F-4418-8396-DA97D26888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03F-4418-8396-DA97D26888F3}"/>
              </c:ext>
            </c:extLst>
          </c:dPt>
          <c:cat>
            <c:strRef>
              <c:f>总资产摘要!$A$5:$A$14</c:f>
              <c:strCache>
                <c:ptCount val="9"/>
                <c:pt idx="0">
                  <c:v>东莞农村商业银行</c:v>
                </c:pt>
                <c:pt idx="1">
                  <c:v>招商银行</c:v>
                </c:pt>
                <c:pt idx="2">
                  <c:v>中国银行</c:v>
                </c:pt>
                <c:pt idx="3">
                  <c:v>中银香港</c:v>
                </c:pt>
                <c:pt idx="4">
                  <c:v>支付宝</c:v>
                </c:pt>
                <c:pt idx="5">
                  <c:v>微信</c:v>
                </c:pt>
                <c:pt idx="6">
                  <c:v>东方财富</c:v>
                </c:pt>
                <c:pt idx="7">
                  <c:v>长桥证券</c:v>
                </c:pt>
                <c:pt idx="8">
                  <c:v>币安Biance</c:v>
                </c:pt>
              </c:strCache>
            </c:strRef>
          </c:cat>
          <c:val>
            <c:numRef>
              <c:f>总资产摘要!$C$5:$C$14</c:f>
              <c:numCache>
                <c:formatCode>"¥"#,##0.00_);[Red]\("¥"#,##0.00\)</c:formatCode>
                <c:ptCount val="9"/>
                <c:pt idx="0">
                  <c:v>0.01</c:v>
                </c:pt>
                <c:pt idx="1">
                  <c:v>260187.53</c:v>
                </c:pt>
                <c:pt idx="2">
                  <c:v>2084.81</c:v>
                </c:pt>
                <c:pt idx="3">
                  <c:v>9.1669999999999998E-3</c:v>
                </c:pt>
                <c:pt idx="4">
                  <c:v>10086.780000000001</c:v>
                </c:pt>
                <c:pt idx="5">
                  <c:v>866.21</c:v>
                </c:pt>
                <c:pt idx="6">
                  <c:v>42623.14</c:v>
                </c:pt>
                <c:pt idx="7">
                  <c:v>48786.92</c:v>
                </c:pt>
                <c:pt idx="8">
                  <c:v>7530.4296000000004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19-46D3-B166-488C6C9A8CFC}"/>
            </c:ext>
          </c:extLst>
        </c:ser>
        <c:ser>
          <c:idx val="2"/>
          <c:order val="2"/>
          <c:tx>
            <c:strRef>
              <c:f>总资产摘要!$D$4</c:f>
              <c:strCache>
                <c:ptCount val="1"/>
                <c:pt idx="0">
                  <c:v>3月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03F-4418-8396-DA97D26888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03F-4418-8396-DA97D26888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03F-4418-8396-DA97D26888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03F-4418-8396-DA97D26888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03F-4418-8396-DA97D26888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03F-4418-8396-DA97D26888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03F-4418-8396-DA97D26888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03F-4418-8396-DA97D26888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03F-4418-8396-DA97D26888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03F-4418-8396-DA97D26888F3}"/>
              </c:ext>
            </c:extLst>
          </c:dPt>
          <c:cat>
            <c:strRef>
              <c:f>总资产摘要!$A$5:$A$14</c:f>
              <c:strCache>
                <c:ptCount val="9"/>
                <c:pt idx="0">
                  <c:v>东莞农村商业银行</c:v>
                </c:pt>
                <c:pt idx="1">
                  <c:v>招商银行</c:v>
                </c:pt>
                <c:pt idx="2">
                  <c:v>中国银行</c:v>
                </c:pt>
                <c:pt idx="3">
                  <c:v>中银香港</c:v>
                </c:pt>
                <c:pt idx="4">
                  <c:v>支付宝</c:v>
                </c:pt>
                <c:pt idx="5">
                  <c:v>微信</c:v>
                </c:pt>
                <c:pt idx="6">
                  <c:v>东方财富</c:v>
                </c:pt>
                <c:pt idx="7">
                  <c:v>长桥证券</c:v>
                </c:pt>
                <c:pt idx="8">
                  <c:v>币安Biance</c:v>
                </c:pt>
              </c:strCache>
            </c:strRef>
          </c:cat>
          <c:val>
            <c:numRef>
              <c:f>总资产摘要!$D$5:$D$14</c:f>
              <c:numCache>
                <c:formatCode>"¥"#,##0.00_);[Red]\("¥"#,##0.00\)</c:formatCode>
                <c:ptCount val="9"/>
                <c:pt idx="0">
                  <c:v>0.01</c:v>
                </c:pt>
                <c:pt idx="1">
                  <c:v>429074.87</c:v>
                </c:pt>
                <c:pt idx="2">
                  <c:v>1973.89</c:v>
                </c:pt>
                <c:pt idx="3">
                  <c:v>9.1669999999999998E-3</c:v>
                </c:pt>
                <c:pt idx="4">
                  <c:v>0.02</c:v>
                </c:pt>
                <c:pt idx="5">
                  <c:v>7.34</c:v>
                </c:pt>
                <c:pt idx="6">
                  <c:v>54889.23</c:v>
                </c:pt>
                <c:pt idx="7">
                  <c:v>48266.09</c:v>
                </c:pt>
                <c:pt idx="8">
                  <c:v>7845.43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19-46D3-B166-488C6C9A8CFC}"/>
            </c:ext>
          </c:extLst>
        </c:ser>
        <c:ser>
          <c:idx val="3"/>
          <c:order val="3"/>
          <c:tx>
            <c:strRef>
              <c:f>总资产摘要!$E$4</c:f>
              <c:strCache>
                <c:ptCount val="1"/>
                <c:pt idx="0">
                  <c:v>4月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603F-4418-8396-DA97D26888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603F-4418-8396-DA97D26888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603F-4418-8396-DA97D26888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603F-4418-8396-DA97D26888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603F-4418-8396-DA97D26888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603F-4418-8396-DA97D26888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603F-4418-8396-DA97D26888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603F-4418-8396-DA97D26888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603F-4418-8396-DA97D26888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603F-4418-8396-DA97D26888F3}"/>
              </c:ext>
            </c:extLst>
          </c:dPt>
          <c:cat>
            <c:strRef>
              <c:f>总资产摘要!$A$5:$A$14</c:f>
              <c:strCache>
                <c:ptCount val="9"/>
                <c:pt idx="0">
                  <c:v>东莞农村商业银行</c:v>
                </c:pt>
                <c:pt idx="1">
                  <c:v>招商银行</c:v>
                </c:pt>
                <c:pt idx="2">
                  <c:v>中国银行</c:v>
                </c:pt>
                <c:pt idx="3">
                  <c:v>中银香港</c:v>
                </c:pt>
                <c:pt idx="4">
                  <c:v>支付宝</c:v>
                </c:pt>
                <c:pt idx="5">
                  <c:v>微信</c:v>
                </c:pt>
                <c:pt idx="6">
                  <c:v>东方财富</c:v>
                </c:pt>
                <c:pt idx="7">
                  <c:v>长桥证券</c:v>
                </c:pt>
                <c:pt idx="8">
                  <c:v>币安Biance</c:v>
                </c:pt>
              </c:strCache>
            </c:strRef>
          </c:cat>
          <c:val>
            <c:numRef>
              <c:f>总资产摘要!$E$5:$E$14</c:f>
              <c:numCache>
                <c:formatCode>"¥"#,##0.00_);[Red]\("¥"#,##0.00\)</c:formatCode>
                <c:ptCount val="9"/>
                <c:pt idx="0">
                  <c:v>0</c:v>
                </c:pt>
                <c:pt idx="1">
                  <c:v>353671.01</c:v>
                </c:pt>
                <c:pt idx="2">
                  <c:v>53.08</c:v>
                </c:pt>
                <c:pt idx="3">
                  <c:v>9.1669999999999998E-3</c:v>
                </c:pt>
                <c:pt idx="4">
                  <c:v>0.04</c:v>
                </c:pt>
                <c:pt idx="5">
                  <c:v>1.9</c:v>
                </c:pt>
                <c:pt idx="6">
                  <c:v>140024.49</c:v>
                </c:pt>
                <c:pt idx="7">
                  <c:v>48651.67</c:v>
                </c:pt>
                <c:pt idx="8">
                  <c:v>7988.15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19-46D3-B166-488C6C9A8CFC}"/>
            </c:ext>
          </c:extLst>
        </c:ser>
        <c:ser>
          <c:idx val="4"/>
          <c:order val="4"/>
          <c:tx>
            <c:strRef>
              <c:f>总资产摘要!$F$4</c:f>
              <c:strCache>
                <c:ptCount val="1"/>
                <c:pt idx="0">
                  <c:v>5月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603F-4418-8396-DA97D26888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603F-4418-8396-DA97D26888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603F-4418-8396-DA97D26888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603F-4418-8396-DA97D26888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603F-4418-8396-DA97D26888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603F-4418-8396-DA97D26888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603F-4418-8396-DA97D26888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603F-4418-8396-DA97D26888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603F-4418-8396-DA97D26888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603F-4418-8396-DA97D26888F3}"/>
              </c:ext>
            </c:extLst>
          </c:dPt>
          <c:cat>
            <c:strRef>
              <c:f>总资产摘要!$A$5:$A$14</c:f>
              <c:strCache>
                <c:ptCount val="9"/>
                <c:pt idx="0">
                  <c:v>东莞农村商业银行</c:v>
                </c:pt>
                <c:pt idx="1">
                  <c:v>招商银行</c:v>
                </c:pt>
                <c:pt idx="2">
                  <c:v>中国银行</c:v>
                </c:pt>
                <c:pt idx="3">
                  <c:v>中银香港</c:v>
                </c:pt>
                <c:pt idx="4">
                  <c:v>支付宝</c:v>
                </c:pt>
                <c:pt idx="5">
                  <c:v>微信</c:v>
                </c:pt>
                <c:pt idx="6">
                  <c:v>东方财富</c:v>
                </c:pt>
                <c:pt idx="7">
                  <c:v>长桥证券</c:v>
                </c:pt>
                <c:pt idx="8">
                  <c:v>币安Biance</c:v>
                </c:pt>
              </c:strCache>
            </c:strRef>
          </c:cat>
          <c:val>
            <c:numRef>
              <c:f>总资产摘要!$F$5:$F$14</c:f>
              <c:numCache>
                <c:formatCode>"¥"#,##0.00_);[Red]\("¥"#,##0.00\)</c:formatCode>
                <c:ptCount val="9"/>
                <c:pt idx="0">
                  <c:v>0</c:v>
                </c:pt>
                <c:pt idx="1">
                  <c:v>372604.37</c:v>
                </c:pt>
                <c:pt idx="2">
                  <c:v>52.95</c:v>
                </c:pt>
                <c:pt idx="3">
                  <c:v>9.1669999999999998E-3</c:v>
                </c:pt>
                <c:pt idx="4">
                  <c:v>1.04</c:v>
                </c:pt>
                <c:pt idx="5">
                  <c:v>9.9</c:v>
                </c:pt>
                <c:pt idx="6">
                  <c:v>140296.64000000001</c:v>
                </c:pt>
                <c:pt idx="7">
                  <c:v>49834.35</c:v>
                </c:pt>
                <c:pt idx="8">
                  <c:v>8321.18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19-46D3-B166-488C6C9A8CFC}"/>
            </c:ext>
          </c:extLst>
        </c:ser>
        <c:ser>
          <c:idx val="5"/>
          <c:order val="5"/>
          <c:tx>
            <c:strRef>
              <c:f>总资产摘要!$G$4</c:f>
              <c:strCache>
                <c:ptCount val="1"/>
                <c:pt idx="0">
                  <c:v>6月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603F-4418-8396-DA97D26888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603F-4418-8396-DA97D26888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603F-4418-8396-DA97D26888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603F-4418-8396-DA97D26888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603F-4418-8396-DA97D26888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603F-4418-8396-DA97D26888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603F-4418-8396-DA97D26888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603F-4418-8396-DA97D26888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603F-4418-8396-DA97D26888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603F-4418-8396-DA97D26888F3}"/>
              </c:ext>
            </c:extLst>
          </c:dPt>
          <c:cat>
            <c:strRef>
              <c:f>总资产摘要!$A$5:$A$14</c:f>
              <c:strCache>
                <c:ptCount val="9"/>
                <c:pt idx="0">
                  <c:v>东莞农村商业银行</c:v>
                </c:pt>
                <c:pt idx="1">
                  <c:v>招商银行</c:v>
                </c:pt>
                <c:pt idx="2">
                  <c:v>中国银行</c:v>
                </c:pt>
                <c:pt idx="3">
                  <c:v>中银香港</c:v>
                </c:pt>
                <c:pt idx="4">
                  <c:v>支付宝</c:v>
                </c:pt>
                <c:pt idx="5">
                  <c:v>微信</c:v>
                </c:pt>
                <c:pt idx="6">
                  <c:v>东方财富</c:v>
                </c:pt>
                <c:pt idx="7">
                  <c:v>长桥证券</c:v>
                </c:pt>
                <c:pt idx="8">
                  <c:v>币安Biance</c:v>
                </c:pt>
              </c:strCache>
            </c:strRef>
          </c:cat>
          <c:val>
            <c:numRef>
              <c:f>总资产摘要!$G$5:$G$14</c:f>
              <c:numCache>
                <c:formatCode>"¥"#,##0.00_);[Red]\("¥"#,##0.00\)</c:formatCode>
                <c:ptCount val="9"/>
                <c:pt idx="0">
                  <c:v>81466.09</c:v>
                </c:pt>
                <c:pt idx="1">
                  <c:v>153397.45000000001</c:v>
                </c:pt>
                <c:pt idx="2">
                  <c:v>10458.89</c:v>
                </c:pt>
                <c:pt idx="3">
                  <c:v>5701.12</c:v>
                </c:pt>
                <c:pt idx="4">
                  <c:v>310.98</c:v>
                </c:pt>
                <c:pt idx="5">
                  <c:v>1286.0900000000001</c:v>
                </c:pt>
                <c:pt idx="6">
                  <c:v>21009.23</c:v>
                </c:pt>
                <c:pt idx="7">
                  <c:v>8484.92</c:v>
                </c:pt>
                <c:pt idx="8">
                  <c:v>9117.5229999999992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19-46D3-B166-488C6C9A8CFC}"/>
            </c:ext>
          </c:extLst>
        </c:ser>
        <c:ser>
          <c:idx val="6"/>
          <c:order val="6"/>
          <c:tx>
            <c:strRef>
              <c:f>总资产摘要!$H$4</c:f>
              <c:strCache>
                <c:ptCount val="1"/>
                <c:pt idx="0">
                  <c:v>7月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603F-4418-8396-DA97D26888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603F-4418-8396-DA97D26888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603F-4418-8396-DA97D26888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603F-4418-8396-DA97D26888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603F-4418-8396-DA97D26888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603F-4418-8396-DA97D26888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603F-4418-8396-DA97D26888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603F-4418-8396-DA97D26888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603F-4418-8396-DA97D26888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603F-4418-8396-DA97D26888F3}"/>
              </c:ext>
            </c:extLst>
          </c:dPt>
          <c:cat>
            <c:strRef>
              <c:f>总资产摘要!$A$5:$A$14</c:f>
              <c:strCache>
                <c:ptCount val="9"/>
                <c:pt idx="0">
                  <c:v>东莞农村商业银行</c:v>
                </c:pt>
                <c:pt idx="1">
                  <c:v>招商银行</c:v>
                </c:pt>
                <c:pt idx="2">
                  <c:v>中国银行</c:v>
                </c:pt>
                <c:pt idx="3">
                  <c:v>中银香港</c:v>
                </c:pt>
                <c:pt idx="4">
                  <c:v>支付宝</c:v>
                </c:pt>
                <c:pt idx="5">
                  <c:v>微信</c:v>
                </c:pt>
                <c:pt idx="6">
                  <c:v>东方财富</c:v>
                </c:pt>
                <c:pt idx="7">
                  <c:v>长桥证券</c:v>
                </c:pt>
                <c:pt idx="8">
                  <c:v>币安Biance</c:v>
                </c:pt>
              </c:strCache>
            </c:strRef>
          </c:cat>
          <c:val>
            <c:numRef>
              <c:f>总资产摘要!$H$5:$H$14</c:f>
              <c:numCache>
                <c:formatCode>"¥"#,##0.00_);[Red]\("¥"#,##0.00\)</c:formatCode>
                <c:ptCount val="9"/>
                <c:pt idx="0">
                  <c:v>81503.45</c:v>
                </c:pt>
                <c:pt idx="1">
                  <c:v>162079.94</c:v>
                </c:pt>
                <c:pt idx="2">
                  <c:v>12612.22</c:v>
                </c:pt>
                <c:pt idx="3">
                  <c:v>7.1264000000000008E-2</c:v>
                </c:pt>
                <c:pt idx="4">
                  <c:v>46.54</c:v>
                </c:pt>
                <c:pt idx="5">
                  <c:v>2.9299999999999997</c:v>
                </c:pt>
                <c:pt idx="6">
                  <c:v>20932.77</c:v>
                </c:pt>
                <c:pt idx="7">
                  <c:v>14584.32</c:v>
                </c:pt>
                <c:pt idx="8">
                  <c:v>9103.7375000000011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19-46D3-B166-488C6C9A8CFC}"/>
            </c:ext>
          </c:extLst>
        </c:ser>
        <c:ser>
          <c:idx val="7"/>
          <c:order val="7"/>
          <c:tx>
            <c:strRef>
              <c:f>总资产摘要!$I$4</c:f>
              <c:strCache>
                <c:ptCount val="1"/>
                <c:pt idx="0">
                  <c:v>8月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C8-472A-8AEE-720684A881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C8-472A-8AEE-720684A881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C8-472A-8AEE-720684A881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C8-472A-8AEE-720684A881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6C8-472A-8AEE-720684A881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6C8-472A-8AEE-720684A881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6C8-472A-8AEE-720684A881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6C8-472A-8AEE-720684A881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6C8-472A-8AEE-720684A881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6C8-472A-8AEE-720684A8810D}"/>
              </c:ext>
            </c:extLst>
          </c:dPt>
          <c:cat>
            <c:strRef>
              <c:f>总资产摘要!$A$5:$A$14</c:f>
              <c:strCache>
                <c:ptCount val="9"/>
                <c:pt idx="0">
                  <c:v>东莞农村商业银行</c:v>
                </c:pt>
                <c:pt idx="1">
                  <c:v>招商银行</c:v>
                </c:pt>
                <c:pt idx="2">
                  <c:v>中国银行</c:v>
                </c:pt>
                <c:pt idx="3">
                  <c:v>中银香港</c:v>
                </c:pt>
                <c:pt idx="4">
                  <c:v>支付宝</c:v>
                </c:pt>
                <c:pt idx="5">
                  <c:v>微信</c:v>
                </c:pt>
                <c:pt idx="6">
                  <c:v>东方财富</c:v>
                </c:pt>
                <c:pt idx="7">
                  <c:v>长桥证券</c:v>
                </c:pt>
                <c:pt idx="8">
                  <c:v>币安Biance</c:v>
                </c:pt>
              </c:strCache>
            </c:strRef>
          </c:cat>
          <c:val>
            <c:numRef>
              <c:f>总资产摘要!$I$5:$I$14</c:f>
              <c:numCache>
                <c:formatCode>"¥"#,##0.00_);[Red]\("¥"#,##0.00\)</c:formatCode>
                <c:ptCount val="9"/>
                <c:pt idx="0">
                  <c:v>81591.429999999993</c:v>
                </c:pt>
                <c:pt idx="1">
                  <c:v>169392.9</c:v>
                </c:pt>
                <c:pt idx="2">
                  <c:v>10057.35</c:v>
                </c:pt>
                <c:pt idx="3">
                  <c:v>9.1669999999999998E-3</c:v>
                </c:pt>
                <c:pt idx="4">
                  <c:v>1.96</c:v>
                </c:pt>
                <c:pt idx="5">
                  <c:v>5.9499999999999993</c:v>
                </c:pt>
                <c:pt idx="6">
                  <c:v>21072.81</c:v>
                </c:pt>
                <c:pt idx="7">
                  <c:v>14975.57</c:v>
                </c:pt>
                <c:pt idx="8">
                  <c:v>9129.9894000000004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819-46D3-B166-488C6C9A8CFC}"/>
            </c:ext>
          </c:extLst>
        </c:ser>
        <c:ser>
          <c:idx val="8"/>
          <c:order val="8"/>
          <c:tx>
            <c:strRef>
              <c:f>总资产摘要!$J$4</c:f>
              <c:strCache>
                <c:ptCount val="1"/>
                <c:pt idx="0">
                  <c:v>9月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6C8-472A-8AEE-720684A881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6C8-472A-8AEE-720684A881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6C8-472A-8AEE-720684A881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6C8-472A-8AEE-720684A881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6C8-472A-8AEE-720684A881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6C8-472A-8AEE-720684A881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6C8-472A-8AEE-720684A881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6C8-472A-8AEE-720684A881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6C8-472A-8AEE-720684A881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6C8-472A-8AEE-720684A8810D}"/>
              </c:ext>
            </c:extLst>
          </c:dPt>
          <c:cat>
            <c:strRef>
              <c:f>总资产摘要!$A$5:$A$14</c:f>
              <c:strCache>
                <c:ptCount val="9"/>
                <c:pt idx="0">
                  <c:v>东莞农村商业银行</c:v>
                </c:pt>
                <c:pt idx="1">
                  <c:v>招商银行</c:v>
                </c:pt>
                <c:pt idx="2">
                  <c:v>中国银行</c:v>
                </c:pt>
                <c:pt idx="3">
                  <c:v>中银香港</c:v>
                </c:pt>
                <c:pt idx="4">
                  <c:v>支付宝</c:v>
                </c:pt>
                <c:pt idx="5">
                  <c:v>微信</c:v>
                </c:pt>
                <c:pt idx="6">
                  <c:v>东方财富</c:v>
                </c:pt>
                <c:pt idx="7">
                  <c:v>长桥证券</c:v>
                </c:pt>
                <c:pt idx="8">
                  <c:v>币安Biance</c:v>
                </c:pt>
              </c:strCache>
            </c:strRef>
          </c:cat>
          <c:val>
            <c:numRef>
              <c:f>总资产摘要!$J$5:$J$14</c:f>
              <c:numCache>
                <c:formatCode>"¥"#,##0.00_);[Red]\("¥"#,##0.00\)</c:formatCode>
                <c:ptCount val="9"/>
                <c:pt idx="0">
                  <c:v>77615.66</c:v>
                </c:pt>
                <c:pt idx="1">
                  <c:v>172458.4</c:v>
                </c:pt>
                <c:pt idx="2">
                  <c:v>294.56</c:v>
                </c:pt>
                <c:pt idx="3">
                  <c:v>9.1670000000000001E-2</c:v>
                </c:pt>
                <c:pt idx="4">
                  <c:v>0.96</c:v>
                </c:pt>
                <c:pt idx="5">
                  <c:v>2</c:v>
                </c:pt>
                <c:pt idx="6">
                  <c:v>20901.54</c:v>
                </c:pt>
                <c:pt idx="7">
                  <c:v>22866.26</c:v>
                </c:pt>
                <c:pt idx="8">
                  <c:v>8962.8624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19-46D3-B166-488C6C9A8CFC}"/>
            </c:ext>
          </c:extLst>
        </c:ser>
        <c:ser>
          <c:idx val="9"/>
          <c:order val="9"/>
          <c:tx>
            <c:strRef>
              <c:f>总资产摘要!$K$4</c:f>
              <c:strCache>
                <c:ptCount val="1"/>
                <c:pt idx="0">
                  <c:v>10月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6C8-472A-8AEE-720684A881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6C8-472A-8AEE-720684A881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6C8-472A-8AEE-720684A881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6C8-472A-8AEE-720684A881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6C8-472A-8AEE-720684A881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6C8-472A-8AEE-720684A881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6C8-472A-8AEE-720684A881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6C8-472A-8AEE-720684A881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6C8-472A-8AEE-720684A881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6C8-472A-8AEE-720684A8810D}"/>
              </c:ext>
            </c:extLst>
          </c:dPt>
          <c:cat>
            <c:strRef>
              <c:f>总资产摘要!$A$5:$A$14</c:f>
              <c:strCache>
                <c:ptCount val="9"/>
                <c:pt idx="0">
                  <c:v>东莞农村商业银行</c:v>
                </c:pt>
                <c:pt idx="1">
                  <c:v>招商银行</c:v>
                </c:pt>
                <c:pt idx="2">
                  <c:v>中国银行</c:v>
                </c:pt>
                <c:pt idx="3">
                  <c:v>中银香港</c:v>
                </c:pt>
                <c:pt idx="4">
                  <c:v>支付宝</c:v>
                </c:pt>
                <c:pt idx="5">
                  <c:v>微信</c:v>
                </c:pt>
                <c:pt idx="6">
                  <c:v>东方财富</c:v>
                </c:pt>
                <c:pt idx="7">
                  <c:v>长桥证券</c:v>
                </c:pt>
                <c:pt idx="8">
                  <c:v>币安Biance</c:v>
                </c:pt>
              </c:strCache>
            </c:strRef>
          </c:cat>
          <c:val>
            <c:numRef>
              <c:f>总资产摘要!$K$5:$K$14</c:f>
              <c:numCache>
                <c:formatCode>"¥"#,##0.00_);[Red]\("¥"#,##0.00\)</c:formatCode>
                <c:ptCount val="9"/>
                <c:pt idx="0">
                  <c:v>73876.460000000006</c:v>
                </c:pt>
                <c:pt idx="1">
                  <c:v>168232.73</c:v>
                </c:pt>
                <c:pt idx="2">
                  <c:v>6.86</c:v>
                </c:pt>
                <c:pt idx="3">
                  <c:v>0</c:v>
                </c:pt>
                <c:pt idx="4">
                  <c:v>1.1499999999999999</c:v>
                </c:pt>
                <c:pt idx="5">
                  <c:v>160.92999999999998</c:v>
                </c:pt>
                <c:pt idx="6">
                  <c:v>21785.1</c:v>
                </c:pt>
                <c:pt idx="7">
                  <c:v>43401.35</c:v>
                </c:pt>
                <c:pt idx="8">
                  <c:v>8791.1157999999996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819-46D3-B166-488C6C9A8CFC}"/>
            </c:ext>
          </c:extLst>
        </c:ser>
        <c:ser>
          <c:idx val="10"/>
          <c:order val="10"/>
          <c:tx>
            <c:strRef>
              <c:f>总资产摘要!$L$4</c:f>
              <c:strCache>
                <c:ptCount val="1"/>
                <c:pt idx="0">
                  <c:v>11月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9A9A-4835-8BD8-1A5924B39E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9A9A-4835-8BD8-1A5924B39E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9A9A-4835-8BD8-1A5924B39E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9A9A-4835-8BD8-1A5924B39E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9A9A-4835-8BD8-1A5924B39E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9A9A-4835-8BD8-1A5924B39E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9A9A-4835-8BD8-1A5924B39E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9A9A-4835-8BD8-1A5924B39E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9A9A-4835-8BD8-1A5924B39E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0595-44E0-885C-8209E0B1F9B1}"/>
              </c:ext>
            </c:extLst>
          </c:dPt>
          <c:cat>
            <c:strRef>
              <c:f>总资产摘要!$A$5:$A$14</c:f>
              <c:strCache>
                <c:ptCount val="9"/>
                <c:pt idx="0">
                  <c:v>东莞农村商业银行</c:v>
                </c:pt>
                <c:pt idx="1">
                  <c:v>招商银行</c:v>
                </c:pt>
                <c:pt idx="2">
                  <c:v>中国银行</c:v>
                </c:pt>
                <c:pt idx="3">
                  <c:v>中银香港</c:v>
                </c:pt>
                <c:pt idx="4">
                  <c:v>支付宝</c:v>
                </c:pt>
                <c:pt idx="5">
                  <c:v>微信</c:v>
                </c:pt>
                <c:pt idx="6">
                  <c:v>东方财富</c:v>
                </c:pt>
                <c:pt idx="7">
                  <c:v>长桥证券</c:v>
                </c:pt>
                <c:pt idx="8">
                  <c:v>币安Biance</c:v>
                </c:pt>
              </c:strCache>
            </c:strRef>
          </c:cat>
          <c:val>
            <c:numRef>
              <c:f>总资产摘要!$L$5:$L$14</c:f>
              <c:numCache>
                <c:formatCode>"¥"#,##0.00_);[Red]\("¥"#,##0.00\)</c:formatCode>
                <c:ptCount val="9"/>
                <c:pt idx="0">
                  <c:v>69682.36</c:v>
                </c:pt>
                <c:pt idx="1">
                  <c:v>173631.04</c:v>
                </c:pt>
                <c:pt idx="2">
                  <c:v>0.32</c:v>
                </c:pt>
                <c:pt idx="3">
                  <c:v>9.1669999999999998E-3</c:v>
                </c:pt>
                <c:pt idx="4">
                  <c:v>0.15</c:v>
                </c:pt>
                <c:pt idx="5">
                  <c:v>0.9</c:v>
                </c:pt>
                <c:pt idx="6">
                  <c:v>22484.1</c:v>
                </c:pt>
                <c:pt idx="7">
                  <c:v>46395.65</c:v>
                </c:pt>
                <c:pt idx="8">
                  <c:v>8960.1876000000011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603F-4418-8396-DA97D26888F3}"/>
            </c:ext>
          </c:extLst>
        </c:ser>
        <c:ser>
          <c:idx val="11"/>
          <c:order val="11"/>
          <c:tx>
            <c:strRef>
              <c:f>总资产摘要!$M$4</c:f>
              <c:strCache>
                <c:ptCount val="1"/>
                <c:pt idx="0">
                  <c:v>12月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9A9A-4835-8BD8-1A5924B39E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9A9A-4835-8BD8-1A5924B39E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9A9A-4835-8BD8-1A5924B39E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9A9A-4835-8BD8-1A5924B39E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9A9A-4835-8BD8-1A5924B39E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9A9A-4835-8BD8-1A5924B39E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9A9A-4835-8BD8-1A5924B39E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9A9A-4835-8BD8-1A5924B39E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9A9A-4835-8BD8-1A5924B39E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0595-44E0-885C-8209E0B1F9B1}"/>
              </c:ext>
            </c:extLst>
          </c:dPt>
          <c:cat>
            <c:strRef>
              <c:f>总资产摘要!$A$5:$A$14</c:f>
              <c:strCache>
                <c:ptCount val="9"/>
                <c:pt idx="0">
                  <c:v>东莞农村商业银行</c:v>
                </c:pt>
                <c:pt idx="1">
                  <c:v>招商银行</c:v>
                </c:pt>
                <c:pt idx="2">
                  <c:v>中国银行</c:v>
                </c:pt>
                <c:pt idx="3">
                  <c:v>中银香港</c:v>
                </c:pt>
                <c:pt idx="4">
                  <c:v>支付宝</c:v>
                </c:pt>
                <c:pt idx="5">
                  <c:v>微信</c:v>
                </c:pt>
                <c:pt idx="6">
                  <c:v>东方财富</c:v>
                </c:pt>
                <c:pt idx="7">
                  <c:v>长桥证券</c:v>
                </c:pt>
                <c:pt idx="8">
                  <c:v>币安Biance</c:v>
                </c:pt>
              </c:strCache>
            </c:strRef>
          </c:cat>
          <c:val>
            <c:numRef>
              <c:f>总资产摘要!$M$5:$M$14</c:f>
              <c:numCache>
                <c:formatCode>"¥"#,##0.00_);[Red]\("¥"#,##0.00\)</c:formatCode>
                <c:ptCount val="9"/>
                <c:pt idx="0">
                  <c:v>56685.01</c:v>
                </c:pt>
                <c:pt idx="1">
                  <c:v>187595.64</c:v>
                </c:pt>
                <c:pt idx="2">
                  <c:v>468.18</c:v>
                </c:pt>
                <c:pt idx="3">
                  <c:v>9.1669999999999998E-3</c:v>
                </c:pt>
                <c:pt idx="4">
                  <c:v>63.5</c:v>
                </c:pt>
                <c:pt idx="5">
                  <c:v>1.06</c:v>
                </c:pt>
                <c:pt idx="6">
                  <c:v>26416.7</c:v>
                </c:pt>
                <c:pt idx="7">
                  <c:v>45130.43</c:v>
                </c:pt>
                <c:pt idx="8">
                  <c:v>8644.3212000000003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5-603F-4418-8396-DA97D2688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  <c:spPr>
        <a:noFill/>
        <a:ln>
          <a:noFill/>
          <a:round/>
        </a:ln>
        <a:effectLst/>
      </c:spPr>
    </c:plotArea>
    <c:legend>
      <c:legendPos val="r"/>
      <c:layout>
        <c:manualLayout>
          <c:xMode val="edge"/>
          <c:yMode val="edge"/>
          <c:x val="0.75777337826272539"/>
          <c:y val="6.0776146826092635E-2"/>
          <c:w val="0.24037039396787288"/>
          <c:h val="0.82354318868937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0" cap="flat" cmpd="sng" algn="ctr">
      <a:noFill/>
      <a:round/>
    </a:ln>
    <a:effectLst/>
  </c:spPr>
  <c:txPr>
    <a:bodyPr rot="0"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092468447917132E-2"/>
          <c:y val="4.4685573425871386E-2"/>
          <c:w val="0.77890477818617998"/>
          <c:h val="0.86621445911081707"/>
        </c:manualLayout>
      </c:layout>
      <c:barChart>
        <c:barDir val="col"/>
        <c:grouping val="clustered"/>
        <c:varyColors val="0"/>
        <c:ser>
          <c:idx val="8"/>
          <c:order val="8"/>
          <c:tx>
            <c:strRef>
              <c:f>总资产摘要!$A$13</c:f>
              <c:strCache>
                <c:ptCount val="1"/>
                <c:pt idx="0">
                  <c:v>币安Biance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总资产摘要!$B$13:$M$13</c:f>
              <c:numCache>
                <c:formatCode>"¥"#,##0.00_);[Red]\("¥"#,##0.00\)</c:formatCode>
                <c:ptCount val="12"/>
                <c:pt idx="0">
                  <c:v>8846.0794000000005</c:v>
                </c:pt>
                <c:pt idx="1">
                  <c:v>7530.4296000000004</c:v>
                </c:pt>
                <c:pt idx="2">
                  <c:v>7845.43</c:v>
                </c:pt>
                <c:pt idx="3">
                  <c:v>7988.15</c:v>
                </c:pt>
                <c:pt idx="4">
                  <c:v>8321.18</c:v>
                </c:pt>
                <c:pt idx="5">
                  <c:v>9117.5229999999992</c:v>
                </c:pt>
                <c:pt idx="6">
                  <c:v>9103.7375000000011</c:v>
                </c:pt>
                <c:pt idx="7" formatCode="&quot;¥&quot;#,##0.00_);[Red]\(&quot;¥&quot;#,##0.00\)">
                  <c:v>9129.9894000000004</c:v>
                </c:pt>
                <c:pt idx="8" formatCode="&quot;¥&quot;#,##0.00_);[Red]\(&quot;¥&quot;#,##0.00\)">
                  <c:v>8962.8624</c:v>
                </c:pt>
                <c:pt idx="9" formatCode="&quot;¥&quot;#,##0.00_);[Red]\(&quot;¥&quot;#,##0.00\)">
                  <c:v>8791.1157999999996</c:v>
                </c:pt>
                <c:pt idx="10" formatCode="&quot;¥&quot;#,##0.00_);[Red]\(&quot;¥&quot;#,##0.00\)">
                  <c:v>8960.1876000000011</c:v>
                </c:pt>
                <c:pt idx="11" formatCode="&quot;¥&quot;#,##0.00_);[Red]\(&quot;¥&quot;#,##0.00\)">
                  <c:v>8644.3212000000003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893-4C4B-A205-8979A0D5E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787712"/>
        <c:axId val="204792032"/>
      </c:barChart>
      <c:barChart>
        <c:barDir val="col"/>
        <c:grouping val="stacked"/>
        <c:varyColors val="0"/>
        <c:ser>
          <c:idx val="2"/>
          <c:order val="0"/>
          <c:tx>
            <c:strRef>
              <c:f>总资产摘要!$A$7</c:f>
              <c:strCache>
                <c:ptCount val="1"/>
                <c:pt idx="0">
                  <c:v>中国银行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总资产摘要!$B$7:$M$7</c:f>
              <c:numCache>
                <c:formatCode>"¥"#,##0.00_);[Red]\("¥"#,##0.00\)</c:formatCode>
                <c:ptCount val="12"/>
                <c:pt idx="0">
                  <c:v>2119.37</c:v>
                </c:pt>
                <c:pt idx="1">
                  <c:v>2084.81</c:v>
                </c:pt>
                <c:pt idx="2">
                  <c:v>1973.89</c:v>
                </c:pt>
                <c:pt idx="3">
                  <c:v>53.08</c:v>
                </c:pt>
                <c:pt idx="4">
                  <c:v>52.95</c:v>
                </c:pt>
                <c:pt idx="5">
                  <c:v>10458.89</c:v>
                </c:pt>
                <c:pt idx="6">
                  <c:v>12612.22</c:v>
                </c:pt>
                <c:pt idx="7" formatCode="&quot;¥&quot;#,##0.00_);[Red]\(&quot;¥&quot;#,##0.00\)">
                  <c:v>10057.35</c:v>
                </c:pt>
                <c:pt idx="8" formatCode="&quot;¥&quot;#,##0.00_);[Red]\(&quot;¥&quot;#,##0.00\)">
                  <c:v>294.56</c:v>
                </c:pt>
                <c:pt idx="9" formatCode="&quot;¥&quot;#,##0.00_);[Red]\(&quot;¥&quot;#,##0.00\)">
                  <c:v>6.86</c:v>
                </c:pt>
                <c:pt idx="10" formatCode="&quot;¥&quot;#,##0.00_);[Red]\(&quot;¥&quot;#,##0.00\)">
                  <c:v>0.32</c:v>
                </c:pt>
                <c:pt idx="11" formatCode="&quot;¥&quot;#,##0.00_);[Red]\(&quot;¥&quot;#,##0.00\)">
                  <c:v>468.18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893-4C4B-A205-8979A0D5E4F5}"/>
            </c:ext>
          </c:extLst>
        </c:ser>
        <c:ser>
          <c:idx val="1"/>
          <c:order val="1"/>
          <c:tx>
            <c:strRef>
              <c:f>总资产摘要!$A$6</c:f>
              <c:strCache>
                <c:ptCount val="1"/>
                <c:pt idx="0">
                  <c:v>招商银行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总资产摘要!$B$6:$M$6</c:f>
              <c:numCache>
                <c:formatCode>"¥"#,##0.00_);[Red]\("¥"#,##0.00\)</c:formatCode>
                <c:ptCount val="12"/>
                <c:pt idx="0">
                  <c:v>192935.76</c:v>
                </c:pt>
                <c:pt idx="1">
                  <c:v>260187.53</c:v>
                </c:pt>
                <c:pt idx="2">
                  <c:v>429074.87</c:v>
                </c:pt>
                <c:pt idx="3">
                  <c:v>353671.01</c:v>
                </c:pt>
                <c:pt idx="4">
                  <c:v>372604.37</c:v>
                </c:pt>
                <c:pt idx="5">
                  <c:v>153397.45000000001</c:v>
                </c:pt>
                <c:pt idx="6">
                  <c:v>162079.94</c:v>
                </c:pt>
                <c:pt idx="7" formatCode="&quot;¥&quot;#,##0.00_);[Red]\(&quot;¥&quot;#,##0.00\)">
                  <c:v>169392.9</c:v>
                </c:pt>
                <c:pt idx="8" formatCode="&quot;¥&quot;#,##0.00_);[Red]\(&quot;¥&quot;#,##0.00\)">
                  <c:v>172458.4</c:v>
                </c:pt>
                <c:pt idx="9" formatCode="&quot;¥&quot;#,##0.00_);[Red]\(&quot;¥&quot;#,##0.00\)">
                  <c:v>168232.73</c:v>
                </c:pt>
                <c:pt idx="10" formatCode="&quot;¥&quot;#,##0.00_);[Red]\(&quot;¥&quot;#,##0.00\)">
                  <c:v>173631.04</c:v>
                </c:pt>
                <c:pt idx="11" formatCode="&quot;¥&quot;#,##0.00_);[Red]\(&quot;¥&quot;#,##0.00\)">
                  <c:v>187595.64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893-4C4B-A205-8979A0D5E4F5}"/>
            </c:ext>
          </c:extLst>
        </c:ser>
        <c:ser>
          <c:idx val="0"/>
          <c:order val="2"/>
          <c:tx>
            <c:strRef>
              <c:f>总资产摘要!$A$5</c:f>
              <c:strCache>
                <c:ptCount val="1"/>
                <c:pt idx="0">
                  <c:v>东莞农村商业银行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总资产摘要!$B$5:$M$5</c:f>
              <c:numCache>
                <c:formatCode>"¥"#,##0.00_);[Red]\("¥"#,##0.00\)</c:formatCode>
                <c:ptCount val="12"/>
                <c:pt idx="0">
                  <c:v>46095</c:v>
                </c:pt>
                <c:pt idx="1">
                  <c:v>0.01</c:v>
                </c:pt>
                <c:pt idx="2">
                  <c:v>0.01</c:v>
                </c:pt>
                <c:pt idx="3">
                  <c:v>0</c:v>
                </c:pt>
                <c:pt idx="4">
                  <c:v>0</c:v>
                </c:pt>
                <c:pt idx="5">
                  <c:v>81466.09</c:v>
                </c:pt>
                <c:pt idx="6">
                  <c:v>81503.45</c:v>
                </c:pt>
                <c:pt idx="7" formatCode="&quot;¥&quot;#,##0.00_);[Red]\(&quot;¥&quot;#,##0.00\)">
                  <c:v>81591.429999999993</c:v>
                </c:pt>
                <c:pt idx="8" formatCode="&quot;¥&quot;#,##0.00_);[Red]\(&quot;¥&quot;#,##0.00\)">
                  <c:v>77615.66</c:v>
                </c:pt>
                <c:pt idx="9" formatCode="&quot;¥&quot;#,##0.00_);[Red]\(&quot;¥&quot;#,##0.00\)">
                  <c:v>73876.460000000006</c:v>
                </c:pt>
                <c:pt idx="10" formatCode="&quot;¥&quot;#,##0.00_);[Red]\(&quot;¥&quot;#,##0.00\)">
                  <c:v>69682.36</c:v>
                </c:pt>
                <c:pt idx="11" formatCode="&quot;¥&quot;#,##0.00_);[Red]\(&quot;¥&quot;#,##0.00\)">
                  <c:v>56685.01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893-4C4B-A205-8979A0D5E4F5}"/>
            </c:ext>
          </c:extLst>
        </c:ser>
        <c:ser>
          <c:idx val="3"/>
          <c:order val="3"/>
          <c:tx>
            <c:strRef>
              <c:f>总资产摘要!$A$8</c:f>
              <c:strCache>
                <c:ptCount val="1"/>
                <c:pt idx="0">
                  <c:v>中银香港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总资产摘要!$B$8:$M$8</c:f>
              <c:numCache>
                <c:formatCode>"¥"#,##0.00_);[Red]\("¥"#,##0.00\)</c:formatCode>
                <c:ptCount val="12"/>
                <c:pt idx="0">
                  <c:v>9.1669999999999998E-3</c:v>
                </c:pt>
                <c:pt idx="1">
                  <c:v>9.1669999999999998E-3</c:v>
                </c:pt>
                <c:pt idx="2">
                  <c:v>9.1669999999999998E-3</c:v>
                </c:pt>
                <c:pt idx="3">
                  <c:v>9.1669999999999998E-3</c:v>
                </c:pt>
                <c:pt idx="4">
                  <c:v>9.1669999999999998E-3</c:v>
                </c:pt>
                <c:pt idx="5">
                  <c:v>5701.12</c:v>
                </c:pt>
                <c:pt idx="6">
                  <c:v>7.1264000000000008E-2</c:v>
                </c:pt>
                <c:pt idx="7" formatCode="&quot;¥&quot;#,##0.00_);[Red]\(&quot;¥&quot;#,##0.00\)">
                  <c:v>9.1669999999999998E-3</c:v>
                </c:pt>
                <c:pt idx="8" formatCode="&quot;¥&quot;#,##0.00_);[Red]\(&quot;¥&quot;#,##0.00\)">
                  <c:v>9.1670000000000001E-2</c:v>
                </c:pt>
                <c:pt idx="9" formatCode="&quot;¥&quot;#,##0.00_);[Red]\(&quot;¥&quot;#,##0.00\)">
                  <c:v>0</c:v>
                </c:pt>
                <c:pt idx="10" formatCode="&quot;¥&quot;#,##0.00_);[Red]\(&quot;¥&quot;#,##0.00\)">
                  <c:v>9.1669999999999998E-3</c:v>
                </c:pt>
                <c:pt idx="11" formatCode="&quot;¥&quot;#,##0.00_);[Red]\(&quot;¥&quot;#,##0.00\)">
                  <c:v>9.1669999999999998E-3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893-4C4B-A205-8979A0D5E4F5}"/>
            </c:ext>
          </c:extLst>
        </c:ser>
        <c:ser>
          <c:idx val="4"/>
          <c:order val="4"/>
          <c:tx>
            <c:strRef>
              <c:f>总资产摘要!$A$9</c:f>
              <c:strCache>
                <c:ptCount val="1"/>
                <c:pt idx="0">
                  <c:v>支付宝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总资产摘要!$B$9:$M$9</c:f>
              <c:numCache>
                <c:formatCode>"¥"#,##0.00_);[Red]\("¥"#,##0.00\)</c:formatCode>
                <c:ptCount val="12"/>
                <c:pt idx="0">
                  <c:v>0.2</c:v>
                </c:pt>
                <c:pt idx="1">
                  <c:v>10086.780000000001</c:v>
                </c:pt>
                <c:pt idx="2">
                  <c:v>0.02</c:v>
                </c:pt>
                <c:pt idx="3">
                  <c:v>0.04</c:v>
                </c:pt>
                <c:pt idx="4">
                  <c:v>1.04</c:v>
                </c:pt>
                <c:pt idx="5">
                  <c:v>310.98</c:v>
                </c:pt>
                <c:pt idx="6">
                  <c:v>46.54</c:v>
                </c:pt>
                <c:pt idx="7" formatCode="&quot;¥&quot;#,##0.00_);[Red]\(&quot;¥&quot;#,##0.00\)">
                  <c:v>1.96</c:v>
                </c:pt>
                <c:pt idx="8" formatCode="&quot;¥&quot;#,##0.00_);[Red]\(&quot;¥&quot;#,##0.00\)">
                  <c:v>0.96</c:v>
                </c:pt>
                <c:pt idx="9" formatCode="&quot;¥&quot;#,##0.00_);[Red]\(&quot;¥&quot;#,##0.00\)">
                  <c:v>1.1499999999999999</c:v>
                </c:pt>
                <c:pt idx="10" formatCode="&quot;¥&quot;#,##0.00_);[Red]\(&quot;¥&quot;#,##0.00\)">
                  <c:v>0.15</c:v>
                </c:pt>
                <c:pt idx="11" formatCode="&quot;¥&quot;#,##0.00_);[Red]\(&quot;¥&quot;#,##0.00\)">
                  <c:v>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893-4C4B-A205-8979A0D5E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787712"/>
        <c:axId val="204792032"/>
      </c:barChart>
      <c:barChart>
        <c:barDir val="col"/>
        <c:grouping val="stacked"/>
        <c:varyColors val="0"/>
        <c:ser>
          <c:idx val="5"/>
          <c:order val="5"/>
          <c:tx>
            <c:strRef>
              <c:f>总资产摘要!$A$10</c:f>
              <c:strCache>
                <c:ptCount val="1"/>
                <c:pt idx="0">
                  <c:v>微信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总资产摘要!$B$10:$M$10</c:f>
              <c:numCache>
                <c:formatCode>"¥"#,##0.00_);[Red]\("¥"#,##0.00\)</c:formatCode>
                <c:ptCount val="12"/>
                <c:pt idx="0">
                  <c:v>134.86000000000001</c:v>
                </c:pt>
                <c:pt idx="1">
                  <c:v>866.21</c:v>
                </c:pt>
                <c:pt idx="2">
                  <c:v>7.34</c:v>
                </c:pt>
                <c:pt idx="3">
                  <c:v>1.9</c:v>
                </c:pt>
                <c:pt idx="4">
                  <c:v>9.9</c:v>
                </c:pt>
                <c:pt idx="5">
                  <c:v>1286.0900000000001</c:v>
                </c:pt>
                <c:pt idx="6">
                  <c:v>2.9299999999999997</c:v>
                </c:pt>
                <c:pt idx="7" formatCode="&quot;¥&quot;#,##0.00_);[Red]\(&quot;¥&quot;#,##0.00\)">
                  <c:v>5.9499999999999993</c:v>
                </c:pt>
                <c:pt idx="8" formatCode="&quot;¥&quot;#,##0.00_);[Red]\(&quot;¥&quot;#,##0.00\)">
                  <c:v>2</c:v>
                </c:pt>
                <c:pt idx="9" formatCode="&quot;¥&quot;#,##0.00_);[Red]\(&quot;¥&quot;#,##0.00\)">
                  <c:v>160.92999999999998</c:v>
                </c:pt>
                <c:pt idx="10" formatCode="&quot;¥&quot;#,##0.00_);[Red]\(&quot;¥&quot;#,##0.00\)">
                  <c:v>0.9</c:v>
                </c:pt>
                <c:pt idx="11" formatCode="&quot;¥&quot;#,##0.00_);[Red]\(&quot;¥&quot;#,##0.00\)">
                  <c:v>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893-4C4B-A205-8979A0D5E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787712"/>
        <c:axId val="204792032"/>
      </c:barChart>
      <c:barChart>
        <c:barDir val="col"/>
        <c:grouping val="stacked"/>
        <c:varyColors val="0"/>
        <c:ser>
          <c:idx val="6"/>
          <c:order val="6"/>
          <c:tx>
            <c:strRef>
              <c:f>总资产摘要!$A$11</c:f>
              <c:strCache>
                <c:ptCount val="1"/>
                <c:pt idx="0">
                  <c:v>东方财富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总资产摘要!$B$11:$M$11</c:f>
              <c:numCache>
                <c:formatCode>"¥"#,##0.00_);[Red]\("¥"#,##0.00\)</c:formatCode>
                <c:ptCount val="12"/>
                <c:pt idx="0">
                  <c:v>41299.21</c:v>
                </c:pt>
                <c:pt idx="1">
                  <c:v>42623.14</c:v>
                </c:pt>
                <c:pt idx="2">
                  <c:v>54889.23</c:v>
                </c:pt>
                <c:pt idx="3">
                  <c:v>140024.49</c:v>
                </c:pt>
                <c:pt idx="4">
                  <c:v>140296.64000000001</c:v>
                </c:pt>
                <c:pt idx="5">
                  <c:v>21009.23</c:v>
                </c:pt>
                <c:pt idx="6">
                  <c:v>20932.77</c:v>
                </c:pt>
                <c:pt idx="7" formatCode="&quot;¥&quot;#,##0.00_);[Red]\(&quot;¥&quot;#,##0.00\)">
                  <c:v>21072.81</c:v>
                </c:pt>
                <c:pt idx="8" formatCode="&quot;¥&quot;#,##0.00_);[Red]\(&quot;¥&quot;#,##0.00\)">
                  <c:v>20901.54</c:v>
                </c:pt>
                <c:pt idx="9" formatCode="&quot;¥&quot;#,##0.00_);[Red]\(&quot;¥&quot;#,##0.00\)">
                  <c:v>21785.1</c:v>
                </c:pt>
                <c:pt idx="10" formatCode="&quot;¥&quot;#,##0.00_);[Red]\(&quot;¥&quot;#,##0.00\)">
                  <c:v>22484.1</c:v>
                </c:pt>
                <c:pt idx="11" formatCode="&quot;¥&quot;#,##0.00_);[Red]\(&quot;¥&quot;#,##0.00\)">
                  <c:v>26416.7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893-4C4B-A205-8979A0D5E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787712"/>
        <c:axId val="204792032"/>
      </c:barChart>
      <c:barChart>
        <c:barDir val="col"/>
        <c:grouping val="stacked"/>
        <c:varyColors val="0"/>
        <c:ser>
          <c:idx val="7"/>
          <c:order val="7"/>
          <c:tx>
            <c:strRef>
              <c:f>总资产摘要!$A$12</c:f>
              <c:strCache>
                <c:ptCount val="1"/>
                <c:pt idx="0">
                  <c:v>长桥证券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总资产摘要!$B$12:$M$12</c:f>
              <c:numCache>
                <c:formatCode>"¥"#,##0.00_);[Red]\("¥"#,##0.00\)</c:formatCode>
                <c:ptCount val="12"/>
                <c:pt idx="0">
                  <c:v>46588.66</c:v>
                </c:pt>
                <c:pt idx="1">
                  <c:v>48786.92</c:v>
                </c:pt>
                <c:pt idx="2">
                  <c:v>48266.09</c:v>
                </c:pt>
                <c:pt idx="3">
                  <c:v>48651.67</c:v>
                </c:pt>
                <c:pt idx="4">
                  <c:v>49834.35</c:v>
                </c:pt>
                <c:pt idx="5">
                  <c:v>8484.92</c:v>
                </c:pt>
                <c:pt idx="6">
                  <c:v>14584.32</c:v>
                </c:pt>
                <c:pt idx="7" formatCode="&quot;¥&quot;#,##0.00_);[Red]\(&quot;¥&quot;#,##0.00\)">
                  <c:v>14975.57</c:v>
                </c:pt>
                <c:pt idx="8" formatCode="&quot;¥&quot;#,##0.00_);[Red]\(&quot;¥&quot;#,##0.00\)">
                  <c:v>22866.26</c:v>
                </c:pt>
                <c:pt idx="9" formatCode="&quot;¥&quot;#,##0.00_);[Red]\(&quot;¥&quot;#,##0.00\)">
                  <c:v>43401.35</c:v>
                </c:pt>
                <c:pt idx="10" formatCode="&quot;¥&quot;#,##0.00_);[Red]\(&quot;¥&quot;#,##0.00\)">
                  <c:v>46395.65</c:v>
                </c:pt>
                <c:pt idx="11" formatCode="&quot;¥&quot;#,##0.00_);[Red]\(&quot;¥&quot;#,##0.00\)">
                  <c:v>45130.43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893-4C4B-A205-8979A0D5E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787712"/>
        <c:axId val="204792032"/>
      </c:barChart>
      <c:barChart>
        <c:barDir val="col"/>
        <c:grouping val="stacked"/>
        <c:varyColors val="0"/>
        <c:ser>
          <c:idx val="9"/>
          <c:order val="9"/>
          <c:tx>
            <c:strRef>
              <c:f>总资产摘要!#REF!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893-4C4B-A205-8979A0D5E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787712"/>
        <c:axId val="204792032"/>
      </c:barChart>
      <c:lineChart>
        <c:grouping val="standard"/>
        <c:varyColors val="0"/>
        <c:ser>
          <c:idx val="10"/>
          <c:order val="10"/>
          <c:tx>
            <c:strRef>
              <c:f>总资产摘要!$A$15</c:f>
              <c:strCache>
                <c:ptCount val="1"/>
                <c:pt idx="0">
                  <c:v>环比增长C</c:v>
                </c:pt>
              </c:strCache>
            </c:strRef>
          </c:tx>
          <c:spPr>
            <a:ln w="28575" cap="rnd" cmpd="sng" algn="ctr">
              <a:solidFill>
                <a:schemeClr val="accent5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dLbl>
              <c:idx val="2"/>
              <c:layout>
                <c:manualLayout>
                  <c:x val="-2.8957460412880207E-2"/>
                  <c:y val="-8.72153478480410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9F-4F16-A045-08FAE763C338}"/>
                </c:ext>
              </c:extLst>
            </c:dLbl>
            <c:dLbl>
              <c:idx val="4"/>
              <c:layout>
                <c:manualLayout>
                  <c:x val="-2.8957460412880161E-2"/>
                  <c:y val="-5.3586374216130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9F-4F16-A045-08FAE763C3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总资产摘要!$B$4:$M$4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总资产摘要!$B$15:$M$15</c:f>
              <c:numCache>
                <c:formatCode>0.00%</c:formatCode>
                <c:ptCount val="12"/>
                <c:pt idx="0">
                  <c:v>4.0043396845628632E-2</c:v>
                </c:pt>
                <c:pt idx="1">
                  <c:v>0.1010199876094644</c:v>
                </c:pt>
                <c:pt idx="2">
                  <c:v>0.45649286609124484</c:v>
                </c:pt>
                <c:pt idx="3">
                  <c:v>1.5373773798551538E-2</c:v>
                </c:pt>
                <c:pt idx="4">
                  <c:v>3.7664341374034738E-2</c:v>
                </c:pt>
                <c:pt idx="5">
                  <c:v>-0.4900685161526126</c:v>
                </c:pt>
                <c:pt idx="6">
                  <c:v>3.3079043758379001E-2</c:v>
                </c:pt>
                <c:pt idx="7">
                  <c:v>1.7821854850547991E-2</c:v>
                </c:pt>
                <c:pt idx="8">
                  <c:v>-1.0206887736696757E-2</c:v>
                </c:pt>
                <c:pt idx="9">
                  <c:v>4.3395778426972731E-2</c:v>
                </c:pt>
                <c:pt idx="10">
                  <c:v>1.5490696395546344E-2</c:v>
                </c:pt>
                <c:pt idx="11">
                  <c:v>1.1988407452826921E-2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9F-4F16-A045-08FAE763C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409968"/>
        <c:axId val="1154404208"/>
      </c:lineChart>
      <c:catAx>
        <c:axId val="20478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792032"/>
        <c:crosses val="autoZero"/>
        <c:auto val="1"/>
        <c:lblAlgn val="ctr"/>
        <c:lblOffset val="100"/>
        <c:noMultiLvlLbl val="0"/>
      </c:catAx>
      <c:valAx>
        <c:axId val="20479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&quot;¥&quot;#,##0.00_);[Red]\(&quot;¥&quot;#,##0.00\)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tint val="75000"/>
                    <a:shade val="95000"/>
                    <a:satMod val="105000"/>
                  </a:srgbClr>
                </a:solidFill>
                <a:prstDash val="solid"/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787712"/>
        <c:crosses val="autoZero"/>
        <c:crossBetween val="between"/>
      </c:valAx>
      <c:valAx>
        <c:axId val="115440420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4409968"/>
        <c:crosses val="max"/>
        <c:crossBetween val="between"/>
        <c:majorUnit val="5.000000000000001E-2"/>
      </c:valAx>
      <c:catAx>
        <c:axId val="1154409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4404208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330519421546163"/>
          <c:y val="0.30412345072747921"/>
          <c:w val="7.3126668069869907E-2"/>
          <c:h val="0.422475231597115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5875" cap="flat" cmpd="sng" algn="ctr">
      <a:noFill/>
      <a:prstDash val="solid"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总资产摘要!$V$17</c:f>
              <c:strCache>
                <c:ptCount val="1"/>
                <c:pt idx="0">
                  <c:v>预测年末资产（元）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总资产摘要!$U$18:$U$22</c:f>
              <c:numCache>
                <c:formatCode>0_);[Red]\(0\)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总资产摘要!$V$18:$V$22</c:f>
              <c:numCache>
                <c:formatCode>"¥"#,##0.00_);\("¥"#,##0.00\)</c:formatCode>
                <c:ptCount val="5"/>
                <c:pt idx="0">
                  <c:v>912828.78923280293</c:v>
                </c:pt>
                <c:pt idx="1">
                  <c:v>2039499.2226199752</c:v>
                </c:pt>
                <c:pt idx="2">
                  <c:v>4556776.832776526</c:v>
                </c:pt>
                <c:pt idx="3">
                  <c:v>10181036.047199277</c:v>
                </c:pt>
                <c:pt idx="4">
                  <c:v>22747108.054272026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2-4E86-8C58-9AB9E5B7B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066624"/>
        <c:axId val="1082092064"/>
      </c:barChart>
      <c:catAx>
        <c:axId val="1082066624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2092064"/>
        <c:crosses val="autoZero"/>
        <c:auto val="1"/>
        <c:lblAlgn val="ctr"/>
        <c:lblOffset val="100"/>
        <c:noMultiLvlLbl val="0"/>
      </c:catAx>
      <c:valAx>
        <c:axId val="108209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¥&quot;#,##0.00_);\(&quot;¥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206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219832436465035E-2"/>
          <c:y val="2.5497598409138605E-2"/>
          <c:w val="0.78729195725246037"/>
          <c:h val="0.904065127994879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投资收益表!$A$5</c:f>
              <c:strCache>
                <c:ptCount val="1"/>
                <c:pt idx="0">
                  <c:v>东方财富（A股）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trendline>
            <c:spPr>
              <a:ln>
                <a:solidFill>
                  <a:srgbClr val="F65606"/>
                </a:solidFill>
              </a:ln>
            </c:spPr>
            <c:trendlineType val="movingAvg"/>
            <c:period val="2"/>
            <c:dispRSqr val="0"/>
            <c:dispEq val="0"/>
          </c:trendline>
          <c:cat>
            <c:strRef>
              <c:f>投资收益表!$B$4:$M$4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投资收益表!$B$5:$M$5</c:f>
              <c:numCache>
                <c:formatCode>"¥"#,##0.00_);[Red]\("¥"#,##0.00\)</c:formatCode>
                <c:ptCount val="12"/>
                <c:pt idx="0">
                  <c:v>1789.74</c:v>
                </c:pt>
                <c:pt idx="1">
                  <c:v>682.66</c:v>
                </c:pt>
                <c:pt idx="2">
                  <c:v>-558.57000000000005</c:v>
                </c:pt>
                <c:pt idx="3">
                  <c:v>1059.07</c:v>
                </c:pt>
                <c:pt idx="4">
                  <c:v>388.65</c:v>
                </c:pt>
                <c:pt idx="5">
                  <c:v>626.84</c:v>
                </c:pt>
                <c:pt idx="6">
                  <c:v>172.98</c:v>
                </c:pt>
                <c:pt idx="7" formatCode="&quot;¥&quot;#,##0.00_);[Red]\(&quot;¥&quot;#,##0.00\)">
                  <c:v>-59.03</c:v>
                </c:pt>
                <c:pt idx="8" formatCode="&quot;¥&quot;#,##0.00_);[Red]\(&quot;¥&quot;#,##0.00\)">
                  <c:v>-167.04</c:v>
                </c:pt>
                <c:pt idx="9" formatCode="&quot;¥&quot;#,##0.00_);[Red]\(&quot;¥&quot;#,##0.00\)">
                  <c:v>1083.94</c:v>
                </c:pt>
                <c:pt idx="10" formatCode="&quot;¥&quot;#,##0.00_);[Red]\(&quot;¥&quot;#,##0.00\)">
                  <c:v>-841</c:v>
                </c:pt>
                <c:pt idx="11" formatCode="&quot;¥&quot;#,##0.00_);[Red]\(&quot;¥&quot;#,##0.00\)">
                  <c:v>9.07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7-4D49-9CCF-AA1CE53448B7}"/>
            </c:ext>
          </c:extLst>
        </c:ser>
        <c:ser>
          <c:idx val="1"/>
          <c:order val="1"/>
          <c:tx>
            <c:strRef>
              <c:f>投资收益表!$A$6</c:f>
              <c:strCache>
                <c:ptCount val="1"/>
                <c:pt idx="0">
                  <c:v>长桥证券（美港股）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投资收益表!$B$4:$M$4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投资收益表!$B$6:$M$6</c:f>
              <c:numCache>
                <c:formatCode>"¥"#,##0.00_);[Red]\("¥"#,##0.00\)</c:formatCode>
                <c:ptCount val="12"/>
                <c:pt idx="0">
                  <c:v>4060.96</c:v>
                </c:pt>
                <c:pt idx="1">
                  <c:v>367.93</c:v>
                </c:pt>
                <c:pt idx="2">
                  <c:v>-1445.84</c:v>
                </c:pt>
                <c:pt idx="3">
                  <c:v>2811.09</c:v>
                </c:pt>
                <c:pt idx="4">
                  <c:v>1088.01</c:v>
                </c:pt>
                <c:pt idx="5">
                  <c:v>210.78</c:v>
                </c:pt>
                <c:pt idx="6">
                  <c:v>78.739999999999995</c:v>
                </c:pt>
                <c:pt idx="7" formatCode="&quot;¥&quot;#,##0.00_);[Red]\(&quot;¥&quot;#,##0.00\)">
                  <c:v>631.32000000000005</c:v>
                </c:pt>
                <c:pt idx="8" formatCode="&quot;¥&quot;#,##0.00_);[Red]\(&quot;¥&quot;#,##0.00\)">
                  <c:v>393.22</c:v>
                </c:pt>
                <c:pt idx="9" formatCode="&quot;¥&quot;#,##0.00_);[Red]\(&quot;¥&quot;#,##0.00\)">
                  <c:v>1154.26</c:v>
                </c:pt>
                <c:pt idx="10" formatCode="&quot;¥&quot;#,##0.00_);[Red]\(&quot;¥&quot;#,##0.00\)">
                  <c:v>1667.26</c:v>
                </c:pt>
                <c:pt idx="11" formatCode="&quot;¥&quot;#,##0.00_);[Red]\(&quot;¥&quot;#,##0.00\)">
                  <c:v>219.6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7-4D49-9CCF-AA1CE53448B7}"/>
            </c:ext>
          </c:extLst>
        </c:ser>
        <c:ser>
          <c:idx val="2"/>
          <c:order val="2"/>
          <c:tx>
            <c:strRef>
              <c:f>投资收益表!$A$7</c:f>
            </c:strRef>
          </c:tx>
          <c:spPr>
            <a:solidFill>
              <a:srgbClr val="FFC000"/>
            </a:solidFill>
            <a:ln>
              <a:noFill/>
            </a:ln>
          </c:spPr>
          <c:invertIfNegative val="0"/>
          <c:trendline>
            <c:spPr>
              <a:ln w="15875">
                <a:solidFill>
                  <a:srgbClr val="FF9900"/>
                </a:solidFill>
              </a:ln>
            </c:spPr>
            <c:trendlineType val="movingAvg"/>
            <c:period val="2"/>
            <c:dispRSqr val="0"/>
            <c:dispEq val="0"/>
          </c:trendline>
          <c:cat>
            <c:strRef>
              <c:f>投资收益表!$B$4:$M$4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投资收益表!$B$7:$M$7</c:f>
            </c:numRef>
          </c:val>
          <c:extLst>
            <c:ext xmlns:c16="http://schemas.microsoft.com/office/drawing/2014/chart" uri="{C3380CC4-5D6E-409C-BE32-E72D297353CC}">
              <c16:uniqueId val="{00000002-06E7-4D49-9CCF-AA1CE53448B7}"/>
            </c:ext>
          </c:extLst>
        </c:ser>
        <c:ser>
          <c:idx val="3"/>
          <c:order val="3"/>
          <c:tx>
            <c:strRef>
              <c:f>投资收益表!$A$9</c:f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</c:spPr>
          <c:invertIfNegative val="0"/>
          <c:cat>
            <c:strRef>
              <c:f>投资收益表!$B$4:$M$4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投资收益表!$B$9:$M$9</c:f>
            </c:numRef>
          </c:val>
          <c:extLst>
            <c:ext xmlns:c16="http://schemas.microsoft.com/office/drawing/2014/chart" uri="{C3380CC4-5D6E-409C-BE32-E72D297353CC}">
              <c16:uniqueId val="{00000003-06E7-4D49-9CCF-AA1CE53448B7}"/>
            </c:ext>
          </c:extLst>
        </c:ser>
        <c:ser>
          <c:idx val="4"/>
          <c:order val="4"/>
          <c:tx>
            <c:strRef>
              <c:f>投资收益表!$A$11</c:f>
            </c:strRef>
          </c:tx>
          <c:spPr>
            <a:solidFill>
              <a:srgbClr val="0070C0"/>
            </a:solidFill>
            <a:ln>
              <a:noFill/>
            </a:ln>
          </c:spPr>
          <c:invertIfNegative val="0"/>
          <c:cat>
            <c:strRef>
              <c:f>投资收益表!$B$4:$M$4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投资收益表!$B$11:$M$11</c:f>
            </c:numRef>
          </c:val>
          <c:extLst>
            <c:ext xmlns:c16="http://schemas.microsoft.com/office/drawing/2014/chart" uri="{C3380CC4-5D6E-409C-BE32-E72D297353CC}">
              <c16:uniqueId val="{00000004-06E7-4D49-9CCF-AA1CE5344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642528"/>
        <c:axId val="237643312"/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642528"/>
        <c:axId val="237643312"/>
        <c:extLst>
          <c:ext xmlns:c15="http://schemas.microsoft.com/office/drawing/2012/chart" uri="{02D57815-91ED-43cb-92C2-25804820EDAC}">
            <c15:filteredLineSeries>
              <c15:ser>
                <c:idx val="10"/>
                <c:order val="5"/>
                <c:tx>
                  <c:v>汇总</c:v>
                </c:tx>
                <c:spPr>
                  <a:ln w="57150">
                    <a:prstDash val="sysDash"/>
                  </a:ln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 b="1"/>
                      </a:pPr>
                      <a:endParaRPr lang="zh-CN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投资收益表!$B$4:$M$4</c15:sqref>
                        </c15:formulaRef>
                      </c:ext>
                    </c:extLst>
                    <c:strCache>
                      <c:ptCount val="12"/>
                      <c:pt idx="0">
                        <c:v> 1月 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投资收益表!$B$12:$M$12</c15:sqref>
                        </c15:formulaRef>
                      </c:ext>
                    </c:extLst>
                    <c:numCache>
                      <c:formatCode>"¥"#,##0.00_);[Red]\("¥"#,##0.00\)</c:formatCode>
                      <c:ptCount val="12"/>
                      <c:pt idx="0" formatCode="_ [$¥-804]* #,##0.00_ ;_ [$¥-804]* \-#,##0.00_ ;_ [$¥-804]* &quot;-&quot;??_ ;_ @_ ">
                        <c:v>7512</c:v>
                      </c:pt>
                      <c:pt idx="1">
                        <c:v>1971.6299999999999</c:v>
                      </c:pt>
                      <c:pt idx="2">
                        <c:v>-3159.0699999999997</c:v>
                      </c:pt>
                      <c:pt idx="3">
                        <c:v>5195.84</c:v>
                      </c:pt>
                      <c:pt idx="4">
                        <c:v>2158.7999999999997</c:v>
                      </c:pt>
                      <c:pt idx="5">
                        <c:v>2055.41</c:v>
                      </c:pt>
                      <c:pt idx="6">
                        <c:v>763.34999999999991</c:v>
                      </c:pt>
                      <c:pt idx="7" formatCode="&quot;¥&quot;#,##0.00_);\(&quot;¥&quot;#,##0.00\)">
                        <c:v>1282.23</c:v>
                      </c:pt>
                      <c:pt idx="8" formatCode="&quot;¥&quot;#,##0.00_);\(&quot;¥&quot;#,##0.00\)">
                        <c:v>516.82000000000005</c:v>
                      </c:pt>
                      <c:pt idx="9" formatCode="&quot;¥&quot;#,##0.00_);\(&quot;¥&quot;#,##0.00\)">
                        <c:v>2841.37</c:v>
                      </c:pt>
                      <c:pt idx="10" formatCode="&quot;¥&quot;#,##0.00_);\(&quot;¥&quot;#,##0.00\)">
                        <c:v>734.51</c:v>
                      </c:pt>
                      <c:pt idx="11" formatCode="&quot;¥&quot;#,##0.00_);\(&quot;¥&quot;#,##0.00\)">
                        <c:v>518.43999999999994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06E7-4D49-9CCF-AA1CE53448B7}"/>
                  </c:ext>
                </c:extLst>
              </c15:ser>
            </c15:filteredLineSeries>
          </c:ext>
        </c:extLst>
      </c:lineChart>
      <c:catAx>
        <c:axId val="237642528"/>
        <c:scaling>
          <c:orientation val="minMax"/>
        </c:scaling>
        <c:delete val="1"/>
        <c:axPos val="b"/>
        <c:majorGridlines>
          <c:spPr>
            <a:ln w="19050"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numFmt formatCode="General" sourceLinked="0"/>
        <c:majorTickMark val="out"/>
        <c:minorTickMark val="none"/>
        <c:tickLblPos val="nextTo"/>
        <c:crossAx val="237643312"/>
        <c:crosses val="autoZero"/>
        <c:auto val="1"/>
        <c:lblAlgn val="ctr"/>
        <c:lblOffset val="100"/>
        <c:noMultiLvlLbl val="0"/>
      </c:catAx>
      <c:valAx>
        <c:axId val="2376433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  <a:alpha val="30000"/>
                </a:schemeClr>
              </a:solidFill>
            </a:ln>
          </c:spPr>
        </c:majorGridlines>
        <c:numFmt formatCode="#,##0;;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zh-CN"/>
          </a:p>
        </c:txPr>
        <c:crossAx val="237642528"/>
        <c:crosses val="autoZero"/>
        <c:crossBetween val="between"/>
      </c:valAx>
      <c:spPr>
        <a:noFill/>
      </c:spPr>
    </c:plotArea>
    <c:legend>
      <c:legendPos val="tr"/>
      <c:layout>
        <c:manualLayout>
          <c:xMode val="edge"/>
          <c:yMode val="edge"/>
          <c:x val="0.83013278952602365"/>
          <c:y val="9.6263622296608856E-2"/>
          <c:w val="0.11586594261640222"/>
          <c:h val="0.83151491859478055"/>
        </c:manualLayout>
      </c:layout>
      <c:overlay val="0"/>
      <c:txPr>
        <a:bodyPr/>
        <a:lstStyle/>
        <a:p>
          <a:pPr>
            <a:defRPr sz="1100" kern="0" spc="-10" baseline="0">
              <a:solidFill>
                <a:schemeClr val="tx1"/>
              </a:solidFill>
              <a:latin typeface="Microsoft YaHei UI" panose="020B0503020204020204" pitchFamily="34" charset="-122"/>
              <a:ea typeface="Microsoft YaHei UI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69688032437245"/>
          <c:y val="8.5115879994120971E-2"/>
          <c:w val="0.52978723906733771"/>
          <c:h val="0.9001300864594789"/>
        </c:manualLayout>
      </c:layout>
      <c:doughnutChart>
        <c:varyColors val="1"/>
        <c:ser>
          <c:idx val="0"/>
          <c:order val="0"/>
          <c:tx>
            <c:strRef>
              <c:f>投资收益表!$B$4</c:f>
              <c:strCache>
                <c:ptCount val="1"/>
                <c:pt idx="0">
                  <c:v> 1月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5E-43E2-8171-C2D48282A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5E-43E2-8171-C2D48282A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5E-43E2-8171-C2D48282A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5E-43E2-8171-C2D48282A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5E-43E2-8171-C2D48282A5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5E-43E2-8171-C2D48282A5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5E-43E2-8171-C2D48282A5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95E-43E2-8171-C2D48282A5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95E-43E2-8171-C2D48282A5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95E-43E2-8171-C2D48282A500}"/>
              </c:ext>
            </c:extLst>
          </c:dPt>
          <c:cat>
            <c:strRef>
              <c:f>投资收益表!$A$5:$A$12</c:f>
              <c:strCache>
                <c:ptCount val="3"/>
                <c:pt idx="0">
                  <c:v>东方财富（A股）</c:v>
                </c:pt>
                <c:pt idx="1">
                  <c:v>长桥证券（美港股）</c:v>
                </c:pt>
                <c:pt idx="2">
                  <c:v>基金（招行）</c:v>
                </c:pt>
              </c:strCache>
            </c:strRef>
          </c:cat>
          <c:val>
            <c:numRef>
              <c:f>投资收益表!$B$5:$B$12</c:f>
              <c:numCache>
                <c:formatCode>"¥"#,##0.00_);[Red]\("¥"#,##0.00\)</c:formatCode>
                <c:ptCount val="3"/>
                <c:pt idx="0">
                  <c:v>1789.74</c:v>
                </c:pt>
                <c:pt idx="1">
                  <c:v>4060.96</c:v>
                </c:pt>
                <c:pt idx="2">
                  <c:v>1661.3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95E-43E2-8171-C2D48282A500}"/>
            </c:ext>
          </c:extLst>
        </c:ser>
        <c:ser>
          <c:idx val="1"/>
          <c:order val="1"/>
          <c:tx>
            <c:strRef>
              <c:f>投资收益表!$C$4</c:f>
              <c:strCache>
                <c:ptCount val="1"/>
                <c:pt idx="0">
                  <c:v>2月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95E-43E2-8171-C2D48282A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95E-43E2-8171-C2D48282A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95E-43E2-8171-C2D48282A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95E-43E2-8171-C2D48282A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E95E-43E2-8171-C2D48282A5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E95E-43E2-8171-C2D48282A5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E95E-43E2-8171-C2D48282A5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E95E-43E2-8171-C2D48282A5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E95E-43E2-8171-C2D48282A5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E95E-43E2-8171-C2D48282A500}"/>
              </c:ext>
            </c:extLst>
          </c:dPt>
          <c:cat>
            <c:strRef>
              <c:f>投资收益表!$A$5:$A$12</c:f>
              <c:strCache>
                <c:ptCount val="3"/>
                <c:pt idx="0">
                  <c:v>东方财富（A股）</c:v>
                </c:pt>
                <c:pt idx="1">
                  <c:v>长桥证券（美港股）</c:v>
                </c:pt>
                <c:pt idx="2">
                  <c:v>基金（招行）</c:v>
                </c:pt>
              </c:strCache>
            </c:strRef>
          </c:cat>
          <c:val>
            <c:numRef>
              <c:f>投资收益表!$C$5:$C$12</c:f>
              <c:numCache>
                <c:formatCode>"¥"#,##0.00_);[Red]\("¥"#,##0.00\)</c:formatCode>
                <c:ptCount val="3"/>
                <c:pt idx="0">
                  <c:v>682.66</c:v>
                </c:pt>
                <c:pt idx="1">
                  <c:v>367.93</c:v>
                </c:pt>
                <c:pt idx="2">
                  <c:v>921.04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95E-43E2-8171-C2D48282A500}"/>
            </c:ext>
          </c:extLst>
        </c:ser>
        <c:ser>
          <c:idx val="2"/>
          <c:order val="2"/>
          <c:tx>
            <c:strRef>
              <c:f>投资收益表!$D$4</c:f>
              <c:strCache>
                <c:ptCount val="1"/>
                <c:pt idx="0">
                  <c:v>3月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95E-43E2-8171-C2D48282A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95E-43E2-8171-C2D48282A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95E-43E2-8171-C2D48282A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95E-43E2-8171-C2D48282A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95E-43E2-8171-C2D48282A5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95E-43E2-8171-C2D48282A5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95E-43E2-8171-C2D48282A5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95E-43E2-8171-C2D48282A5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95E-43E2-8171-C2D48282A5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95E-43E2-8171-C2D48282A500}"/>
              </c:ext>
            </c:extLst>
          </c:dPt>
          <c:cat>
            <c:strRef>
              <c:f>投资收益表!$A$5:$A$12</c:f>
              <c:strCache>
                <c:ptCount val="3"/>
                <c:pt idx="0">
                  <c:v>东方财富（A股）</c:v>
                </c:pt>
                <c:pt idx="1">
                  <c:v>长桥证券（美港股）</c:v>
                </c:pt>
                <c:pt idx="2">
                  <c:v>基金（招行）</c:v>
                </c:pt>
              </c:strCache>
            </c:strRef>
          </c:cat>
          <c:val>
            <c:numRef>
              <c:f>投资收益表!$D$5:$D$12</c:f>
              <c:numCache>
                <c:formatCode>"¥"#,##0.00_);[Red]\("¥"#,##0.00\)</c:formatCode>
                <c:ptCount val="3"/>
                <c:pt idx="0">
                  <c:v>-558.57000000000005</c:v>
                </c:pt>
                <c:pt idx="1">
                  <c:v>-1445.84</c:v>
                </c:pt>
                <c:pt idx="2">
                  <c:v>-1154.6600000000001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95E-43E2-8171-C2D48282A500}"/>
            </c:ext>
          </c:extLst>
        </c:ser>
        <c:ser>
          <c:idx val="3"/>
          <c:order val="3"/>
          <c:tx>
            <c:strRef>
              <c:f>投资收益表!$E$4</c:f>
              <c:strCache>
                <c:ptCount val="1"/>
                <c:pt idx="0">
                  <c:v>4月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E95E-43E2-8171-C2D48282A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E95E-43E2-8171-C2D48282A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E95E-43E2-8171-C2D48282A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E95E-43E2-8171-C2D48282A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E95E-43E2-8171-C2D48282A5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E95E-43E2-8171-C2D48282A5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E95E-43E2-8171-C2D48282A5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E95E-43E2-8171-C2D48282A5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E95E-43E2-8171-C2D48282A5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E95E-43E2-8171-C2D48282A500}"/>
              </c:ext>
            </c:extLst>
          </c:dPt>
          <c:cat>
            <c:strRef>
              <c:f>投资收益表!$A$5:$A$12</c:f>
              <c:strCache>
                <c:ptCount val="3"/>
                <c:pt idx="0">
                  <c:v>东方财富（A股）</c:v>
                </c:pt>
                <c:pt idx="1">
                  <c:v>长桥证券（美港股）</c:v>
                </c:pt>
                <c:pt idx="2">
                  <c:v>基金（招行）</c:v>
                </c:pt>
              </c:strCache>
            </c:strRef>
          </c:cat>
          <c:val>
            <c:numRef>
              <c:f>投资收益表!$E$5:$E$12</c:f>
              <c:numCache>
                <c:formatCode>"¥"#,##0.00_);[Red]\("¥"#,##0.00\)</c:formatCode>
                <c:ptCount val="3"/>
                <c:pt idx="0">
                  <c:v>1059.07</c:v>
                </c:pt>
                <c:pt idx="1">
                  <c:v>2811.09</c:v>
                </c:pt>
                <c:pt idx="2">
                  <c:v>1325.68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E95E-43E2-8171-C2D48282A500}"/>
            </c:ext>
          </c:extLst>
        </c:ser>
        <c:ser>
          <c:idx val="4"/>
          <c:order val="4"/>
          <c:tx>
            <c:strRef>
              <c:f>投资收益表!$F$4</c:f>
              <c:strCache>
                <c:ptCount val="1"/>
                <c:pt idx="0">
                  <c:v>5月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E95E-43E2-8171-C2D48282A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E95E-43E2-8171-C2D48282A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E95E-43E2-8171-C2D48282A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E95E-43E2-8171-C2D48282A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E95E-43E2-8171-C2D48282A5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E95E-43E2-8171-C2D48282A5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E95E-43E2-8171-C2D48282A5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E95E-43E2-8171-C2D48282A5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E95E-43E2-8171-C2D48282A5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E95E-43E2-8171-C2D48282A500}"/>
              </c:ext>
            </c:extLst>
          </c:dPt>
          <c:cat>
            <c:strRef>
              <c:f>投资收益表!$A$5:$A$12</c:f>
              <c:strCache>
                <c:ptCount val="3"/>
                <c:pt idx="0">
                  <c:v>东方财富（A股）</c:v>
                </c:pt>
                <c:pt idx="1">
                  <c:v>长桥证券（美港股）</c:v>
                </c:pt>
                <c:pt idx="2">
                  <c:v>基金（招行）</c:v>
                </c:pt>
              </c:strCache>
            </c:strRef>
          </c:cat>
          <c:val>
            <c:numRef>
              <c:f>投资收益表!$F$5:$F$12</c:f>
              <c:numCache>
                <c:formatCode>"¥"#,##0.00_);[Red]\("¥"#,##0.00\)</c:formatCode>
                <c:ptCount val="3"/>
                <c:pt idx="0">
                  <c:v>388.65</c:v>
                </c:pt>
                <c:pt idx="1">
                  <c:v>1088.01</c:v>
                </c:pt>
                <c:pt idx="2">
                  <c:v>682.14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E95E-43E2-8171-C2D48282A500}"/>
            </c:ext>
          </c:extLst>
        </c:ser>
        <c:ser>
          <c:idx val="5"/>
          <c:order val="5"/>
          <c:tx>
            <c:strRef>
              <c:f>投资收益表!$G$4</c:f>
              <c:strCache>
                <c:ptCount val="1"/>
                <c:pt idx="0">
                  <c:v>6月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E95E-43E2-8171-C2D48282A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E95E-43E2-8171-C2D48282A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E95E-43E2-8171-C2D48282A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E95E-43E2-8171-C2D48282A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E95E-43E2-8171-C2D48282A5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E95E-43E2-8171-C2D48282A5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E95E-43E2-8171-C2D48282A5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E95E-43E2-8171-C2D48282A5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A-E95E-43E2-8171-C2D48282A5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C-E95E-43E2-8171-C2D48282A500}"/>
              </c:ext>
            </c:extLst>
          </c:dPt>
          <c:cat>
            <c:strRef>
              <c:f>投资收益表!$A$5:$A$12</c:f>
              <c:strCache>
                <c:ptCount val="3"/>
                <c:pt idx="0">
                  <c:v>东方财富（A股）</c:v>
                </c:pt>
                <c:pt idx="1">
                  <c:v>长桥证券（美港股）</c:v>
                </c:pt>
                <c:pt idx="2">
                  <c:v>基金（招行）</c:v>
                </c:pt>
              </c:strCache>
            </c:strRef>
          </c:cat>
          <c:val>
            <c:numRef>
              <c:f>投资收益表!$G$5:$G$12</c:f>
              <c:numCache>
                <c:formatCode>"¥"#,##0.00_);[Red]\("¥"#,##0.00\)</c:formatCode>
                <c:ptCount val="3"/>
                <c:pt idx="0">
                  <c:v>626.84</c:v>
                </c:pt>
                <c:pt idx="1">
                  <c:v>210.78</c:v>
                </c:pt>
                <c:pt idx="2">
                  <c:v>1217.79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E95E-43E2-8171-C2D48282A500}"/>
            </c:ext>
          </c:extLst>
        </c:ser>
        <c:ser>
          <c:idx val="6"/>
          <c:order val="6"/>
          <c:tx>
            <c:strRef>
              <c:f>投资收益表!$H$4</c:f>
              <c:strCache>
                <c:ptCount val="1"/>
                <c:pt idx="0">
                  <c:v>7月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E95E-43E2-8171-C2D48282A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E95E-43E2-8171-C2D48282A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E95E-43E2-8171-C2D48282A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E95E-43E2-8171-C2D48282A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E95E-43E2-8171-C2D48282A5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E95E-43E2-8171-C2D48282A5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E95E-43E2-8171-C2D48282A5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E95E-43E2-8171-C2D48282A5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E95E-43E2-8171-C2D48282A5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E95E-43E2-8171-C2D48282A500}"/>
              </c:ext>
            </c:extLst>
          </c:dPt>
          <c:cat>
            <c:strRef>
              <c:f>投资收益表!$A$5:$A$12</c:f>
              <c:strCache>
                <c:ptCount val="3"/>
                <c:pt idx="0">
                  <c:v>东方财富（A股）</c:v>
                </c:pt>
                <c:pt idx="1">
                  <c:v>长桥证券（美港股）</c:v>
                </c:pt>
                <c:pt idx="2">
                  <c:v>基金（招行）</c:v>
                </c:pt>
              </c:strCache>
            </c:strRef>
          </c:cat>
          <c:val>
            <c:numRef>
              <c:f>投资收益表!$H$5:$H$12</c:f>
              <c:numCache>
                <c:formatCode>"¥"#,##0.00_);[Red]\("¥"#,##0.00\)</c:formatCode>
                <c:ptCount val="3"/>
                <c:pt idx="0">
                  <c:v>172.98</c:v>
                </c:pt>
                <c:pt idx="1">
                  <c:v>78.739999999999995</c:v>
                </c:pt>
                <c:pt idx="2">
                  <c:v>511.63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E95E-43E2-8171-C2D48282A500}"/>
            </c:ext>
          </c:extLst>
        </c:ser>
        <c:ser>
          <c:idx val="7"/>
          <c:order val="7"/>
          <c:tx>
            <c:strRef>
              <c:f>投资收益表!$I$4</c:f>
              <c:strCache>
                <c:ptCount val="1"/>
                <c:pt idx="0">
                  <c:v>8月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4-E95E-43E2-8171-C2D48282A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6-E95E-43E2-8171-C2D48282A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8-E95E-43E2-8171-C2D48282A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A-E95E-43E2-8171-C2D48282A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C-E95E-43E2-8171-C2D48282A5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E-E95E-43E2-8171-C2D48282A5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0-E95E-43E2-8171-C2D48282A5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2-E95E-43E2-8171-C2D48282A5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4-E95E-43E2-8171-C2D48282A5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6-E95E-43E2-8171-C2D48282A500}"/>
              </c:ext>
            </c:extLst>
          </c:dPt>
          <c:cat>
            <c:strRef>
              <c:f>投资收益表!$A$5:$A$12</c:f>
              <c:strCache>
                <c:ptCount val="3"/>
                <c:pt idx="0">
                  <c:v>东方财富（A股）</c:v>
                </c:pt>
                <c:pt idx="1">
                  <c:v>长桥证券（美港股）</c:v>
                </c:pt>
                <c:pt idx="2">
                  <c:v>基金（招行）</c:v>
                </c:pt>
              </c:strCache>
            </c:strRef>
          </c:cat>
          <c:val>
            <c:numRef>
              <c:f>投资收益表!$I$5:$I$12</c:f>
              <c:numCache>
                <c:formatCode>"¥"#,##0.00_);[Red]\("¥"#,##0.00\)</c:formatCode>
                <c:ptCount val="3"/>
                <c:pt idx="0">
                  <c:v>-59.03</c:v>
                </c:pt>
                <c:pt idx="1">
                  <c:v>631.32000000000005</c:v>
                </c:pt>
                <c:pt idx="2">
                  <c:v>709.94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E95E-43E2-8171-C2D48282A500}"/>
            </c:ext>
          </c:extLst>
        </c:ser>
        <c:ser>
          <c:idx val="8"/>
          <c:order val="8"/>
          <c:tx>
            <c:strRef>
              <c:f>投资收益表!$J$4</c:f>
              <c:strCache>
                <c:ptCount val="1"/>
                <c:pt idx="0">
                  <c:v>9月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E95E-43E2-8171-C2D48282A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E95E-43E2-8171-C2D48282A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E95E-43E2-8171-C2D48282A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E95E-43E2-8171-C2D48282A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E95E-43E2-8171-C2D48282A5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E95E-43E2-8171-C2D48282A5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E95E-43E2-8171-C2D48282A5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E95E-43E2-8171-C2D48282A5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E95E-43E2-8171-C2D48282A5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E95E-43E2-8171-C2D48282A500}"/>
              </c:ext>
            </c:extLst>
          </c:dPt>
          <c:cat>
            <c:strRef>
              <c:f>投资收益表!$A$5:$A$12</c:f>
              <c:strCache>
                <c:ptCount val="3"/>
                <c:pt idx="0">
                  <c:v>东方财富（A股）</c:v>
                </c:pt>
                <c:pt idx="1">
                  <c:v>长桥证券（美港股）</c:v>
                </c:pt>
                <c:pt idx="2">
                  <c:v>基金（招行）</c:v>
                </c:pt>
              </c:strCache>
            </c:strRef>
          </c:cat>
          <c:val>
            <c:numRef>
              <c:f>投资收益表!$J$5:$J$12</c:f>
              <c:numCache>
                <c:formatCode>"¥"#,##0.00_);[Red]\("¥"#,##0.00\)</c:formatCode>
                <c:ptCount val="3"/>
                <c:pt idx="0">
                  <c:v>-167.04</c:v>
                </c:pt>
                <c:pt idx="1">
                  <c:v>393.22</c:v>
                </c:pt>
                <c:pt idx="2">
                  <c:v>290.64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E95E-43E2-8171-C2D48282A500}"/>
            </c:ext>
          </c:extLst>
        </c:ser>
        <c:ser>
          <c:idx val="9"/>
          <c:order val="9"/>
          <c:tx>
            <c:strRef>
              <c:f>投资收益表!$K$4</c:f>
              <c:strCache>
                <c:ptCount val="1"/>
                <c:pt idx="0">
                  <c:v>10月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E-E95E-43E2-8171-C2D48282A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0-E95E-43E2-8171-C2D48282A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2-E95E-43E2-8171-C2D48282A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4-E95E-43E2-8171-C2D48282A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6-E95E-43E2-8171-C2D48282A5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8-E95E-43E2-8171-C2D48282A5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A-E95E-43E2-8171-C2D48282A5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C-E95E-43E2-8171-C2D48282A5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E-E95E-43E2-8171-C2D48282A5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0-E95E-43E2-8171-C2D48282A500}"/>
              </c:ext>
            </c:extLst>
          </c:dPt>
          <c:cat>
            <c:strRef>
              <c:f>投资收益表!$A$5:$A$12</c:f>
              <c:strCache>
                <c:ptCount val="3"/>
                <c:pt idx="0">
                  <c:v>东方财富（A股）</c:v>
                </c:pt>
                <c:pt idx="1">
                  <c:v>长桥证券（美港股）</c:v>
                </c:pt>
                <c:pt idx="2">
                  <c:v>基金（招行）</c:v>
                </c:pt>
              </c:strCache>
            </c:strRef>
          </c:cat>
          <c:val>
            <c:numRef>
              <c:f>投资收益表!$K$5:$K$12</c:f>
              <c:numCache>
                <c:formatCode>"¥"#,##0.00_);[Red]\("¥"#,##0.00\)</c:formatCode>
                <c:ptCount val="3"/>
                <c:pt idx="0">
                  <c:v>1083.94</c:v>
                </c:pt>
                <c:pt idx="1">
                  <c:v>1154.26</c:v>
                </c:pt>
                <c:pt idx="2">
                  <c:v>603.16999999999996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1-E95E-43E2-8171-C2D48282A500}"/>
            </c:ext>
          </c:extLst>
        </c:ser>
        <c:ser>
          <c:idx val="10"/>
          <c:order val="10"/>
          <c:tx>
            <c:strRef>
              <c:f>投资收益表!$L$4</c:f>
              <c:strCache>
                <c:ptCount val="1"/>
                <c:pt idx="0">
                  <c:v>11月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E95E-43E2-8171-C2D48282A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E95E-43E2-8171-C2D48282A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E95E-43E2-8171-C2D48282A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E95E-43E2-8171-C2D48282A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E95E-43E2-8171-C2D48282A5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E95E-43E2-8171-C2D48282A5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E95E-43E2-8171-C2D48282A5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E95E-43E2-8171-C2D48282A5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E95E-43E2-8171-C2D48282A5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E95E-43E2-8171-C2D48282A500}"/>
              </c:ext>
            </c:extLst>
          </c:dPt>
          <c:cat>
            <c:strRef>
              <c:f>投资收益表!$A$5:$A$12</c:f>
              <c:strCache>
                <c:ptCount val="3"/>
                <c:pt idx="0">
                  <c:v>东方财富（A股）</c:v>
                </c:pt>
                <c:pt idx="1">
                  <c:v>长桥证券（美港股）</c:v>
                </c:pt>
                <c:pt idx="2">
                  <c:v>基金（招行）</c:v>
                </c:pt>
              </c:strCache>
            </c:strRef>
          </c:cat>
          <c:val>
            <c:numRef>
              <c:f>投资收益表!$L$5:$L$12</c:f>
              <c:numCache>
                <c:formatCode>"¥"#,##0.00_);[Red]\("¥"#,##0.00\)</c:formatCode>
                <c:ptCount val="3"/>
                <c:pt idx="0">
                  <c:v>-841</c:v>
                </c:pt>
                <c:pt idx="1">
                  <c:v>1667.26</c:v>
                </c:pt>
                <c:pt idx="2">
                  <c:v>-91.75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6-E95E-43E2-8171-C2D48282A500}"/>
            </c:ext>
          </c:extLst>
        </c:ser>
        <c:ser>
          <c:idx val="11"/>
          <c:order val="11"/>
          <c:tx>
            <c:strRef>
              <c:f>投资收益表!$M$4</c:f>
              <c:strCache>
                <c:ptCount val="1"/>
                <c:pt idx="0">
                  <c:v>12月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8-E95E-43E2-8171-C2D48282A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A-E95E-43E2-8171-C2D48282A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C-E95E-43E2-8171-C2D48282A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E-E95E-43E2-8171-C2D48282A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0-E95E-43E2-8171-C2D48282A5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2-E95E-43E2-8171-C2D48282A5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4-E95E-43E2-8171-C2D48282A5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6-E95E-43E2-8171-C2D48282A5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8-E95E-43E2-8171-C2D48282A5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A-E95E-43E2-8171-C2D48282A500}"/>
              </c:ext>
            </c:extLst>
          </c:dPt>
          <c:cat>
            <c:strRef>
              <c:f>投资收益表!$A$5:$A$12</c:f>
              <c:strCache>
                <c:ptCount val="3"/>
                <c:pt idx="0">
                  <c:v>东方财富（A股）</c:v>
                </c:pt>
                <c:pt idx="1">
                  <c:v>长桥证券（美港股）</c:v>
                </c:pt>
                <c:pt idx="2">
                  <c:v>基金（招行）</c:v>
                </c:pt>
              </c:strCache>
            </c:strRef>
          </c:cat>
          <c:val>
            <c:numRef>
              <c:f>投资收益表!$M$5:$M$12</c:f>
              <c:numCache>
                <c:formatCode>"¥"#,##0.00_);[Red]\("¥"#,##0.00\)</c:formatCode>
                <c:ptCount val="3"/>
                <c:pt idx="0">
                  <c:v>9.07</c:v>
                </c:pt>
                <c:pt idx="1">
                  <c:v>219.6</c:v>
                </c:pt>
                <c:pt idx="2">
                  <c:v>289.77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B-E95E-43E2-8171-C2D48282A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  <c:spPr>
        <a:noFill/>
        <a:ln>
          <a:noFill/>
          <a:round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0" cap="flat" cmpd="sng" algn="ctr">
      <a:noFill/>
      <a:round/>
    </a:ln>
    <a:effectLst/>
  </c:spPr>
  <c:txPr>
    <a:bodyPr rot="0"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投资收益表!$A$6</c:f>
              <c:strCache>
                <c:ptCount val="1"/>
                <c:pt idx="0">
                  <c:v>长桥证券（美港股）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投资收益表!$B$4:$M$4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投资收益表!$B$6:$M$6</c:f>
              <c:numCache>
                <c:formatCode>"¥"#,##0.00_);[Red]\("¥"#,##0.00\)</c:formatCode>
                <c:ptCount val="12"/>
                <c:pt idx="0">
                  <c:v>4060.96</c:v>
                </c:pt>
                <c:pt idx="1">
                  <c:v>367.93</c:v>
                </c:pt>
                <c:pt idx="2">
                  <c:v>-1445.84</c:v>
                </c:pt>
                <c:pt idx="3">
                  <c:v>2811.09</c:v>
                </c:pt>
                <c:pt idx="4">
                  <c:v>1088.01</c:v>
                </c:pt>
                <c:pt idx="5">
                  <c:v>210.78</c:v>
                </c:pt>
                <c:pt idx="6">
                  <c:v>78.739999999999995</c:v>
                </c:pt>
                <c:pt idx="7" formatCode="&quot;¥&quot;#,##0.00_);[Red]\(&quot;¥&quot;#,##0.00\)">
                  <c:v>631.32000000000005</c:v>
                </c:pt>
                <c:pt idx="8" formatCode="&quot;¥&quot;#,##0.00_);[Red]\(&quot;¥&quot;#,##0.00\)">
                  <c:v>393.22</c:v>
                </c:pt>
                <c:pt idx="9" formatCode="&quot;¥&quot;#,##0.00_);[Red]\(&quot;¥&quot;#,##0.00\)">
                  <c:v>1154.26</c:v>
                </c:pt>
                <c:pt idx="10" formatCode="&quot;¥&quot;#,##0.00_);[Red]\(&quot;¥&quot;#,##0.00\)">
                  <c:v>1667.26</c:v>
                </c:pt>
                <c:pt idx="11" formatCode="&quot;¥&quot;#,##0.00_);[Red]\(&quot;¥&quot;#,##0.00\)">
                  <c:v>219.6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27-4022-97C1-164AE5792DAE}"/>
            </c:ext>
          </c:extLst>
        </c:ser>
        <c:ser>
          <c:idx val="2"/>
          <c:order val="1"/>
          <c:tx>
            <c:strRef>
              <c:f>投资收益表!$A$7</c:f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投资收益表!$B$4:$M$4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投资收益表!$B$7:$M$7</c:f>
            </c:numRef>
          </c:val>
          <c:extLst>
            <c:ext xmlns:c16="http://schemas.microsoft.com/office/drawing/2014/chart" uri="{C3380CC4-5D6E-409C-BE32-E72D297353CC}">
              <c16:uniqueId val="{00000002-2E27-4022-97C1-164AE5792DAE}"/>
            </c:ext>
          </c:extLst>
        </c:ser>
        <c:ser>
          <c:idx val="0"/>
          <c:order val="2"/>
          <c:tx>
            <c:strRef>
              <c:f>投资收益表!$A$5</c:f>
              <c:strCache>
                <c:ptCount val="1"/>
                <c:pt idx="0">
                  <c:v>东方财富（A股）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投资收益表!$B$4:$M$4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投资收益表!$B$5:$M$5</c:f>
              <c:numCache>
                <c:formatCode>"¥"#,##0.00_);[Red]\("¥"#,##0.00\)</c:formatCode>
                <c:ptCount val="12"/>
                <c:pt idx="0">
                  <c:v>1789.74</c:v>
                </c:pt>
                <c:pt idx="1">
                  <c:v>682.66</c:v>
                </c:pt>
                <c:pt idx="2">
                  <c:v>-558.57000000000005</c:v>
                </c:pt>
                <c:pt idx="3">
                  <c:v>1059.07</c:v>
                </c:pt>
                <c:pt idx="4">
                  <c:v>388.65</c:v>
                </c:pt>
                <c:pt idx="5">
                  <c:v>626.84</c:v>
                </c:pt>
                <c:pt idx="6">
                  <c:v>172.98</c:v>
                </c:pt>
                <c:pt idx="7" formatCode="&quot;¥&quot;#,##0.00_);[Red]\(&quot;¥&quot;#,##0.00\)">
                  <c:v>-59.03</c:v>
                </c:pt>
                <c:pt idx="8" formatCode="&quot;¥&quot;#,##0.00_);[Red]\(&quot;¥&quot;#,##0.00\)">
                  <c:v>-167.04</c:v>
                </c:pt>
                <c:pt idx="9" formatCode="&quot;¥&quot;#,##0.00_);[Red]\(&quot;¥&quot;#,##0.00\)">
                  <c:v>1083.94</c:v>
                </c:pt>
                <c:pt idx="10" formatCode="&quot;¥&quot;#,##0.00_);[Red]\(&quot;¥&quot;#,##0.00\)">
                  <c:v>-841</c:v>
                </c:pt>
                <c:pt idx="11" formatCode="&quot;¥&quot;#,##0.00_);[Red]\(&quot;¥&quot;#,##0.00\)">
                  <c:v>9.07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27-4022-97C1-164AE5792DAE}"/>
            </c:ext>
          </c:extLst>
        </c:ser>
        <c:ser>
          <c:idx val="3"/>
          <c:order val="3"/>
          <c:tx>
            <c:strRef>
              <c:f>投资收益表!$A$9</c:f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投资收益表!$B$4:$M$4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投资收益表!$B$9:$M$9</c:f>
            </c:numRef>
          </c:val>
          <c:extLst>
            <c:ext xmlns:c16="http://schemas.microsoft.com/office/drawing/2014/chart" uri="{C3380CC4-5D6E-409C-BE32-E72D297353CC}">
              <c16:uniqueId val="{00000004-2E27-4022-97C1-164AE5792DAE}"/>
            </c:ext>
          </c:extLst>
        </c:ser>
        <c:ser>
          <c:idx val="4"/>
          <c:order val="4"/>
          <c:tx>
            <c:strRef>
              <c:f>投资收益表!$A$11</c:f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投资收益表!$B$4:$M$4</c:f>
              <c:strCache>
                <c:ptCount val="12"/>
                <c:pt idx="0">
                  <c:v> 1月 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投资收益表!$B$11:$M$11</c:f>
            </c:numRef>
          </c:val>
          <c:extLst>
            <c:ext xmlns:c16="http://schemas.microsoft.com/office/drawing/2014/chart" uri="{C3380CC4-5D6E-409C-BE32-E72D297353CC}">
              <c16:uniqueId val="{00000005-2E27-4022-97C1-164AE5792DAE}"/>
            </c:ext>
          </c:extLst>
        </c:ser>
        <c:ser>
          <c:idx val="5"/>
          <c:order val="6"/>
          <c:tx>
            <c:strRef>
              <c:f>投资收益表!$A$8</c:f>
              <c:strCache>
                <c:ptCount val="1"/>
                <c:pt idx="0">
                  <c:v>基金（招行）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invertIfNegative val="0"/>
          <c:val>
            <c:numRef>
              <c:f>投资收益表!$B$8:$M$8</c:f>
              <c:numCache>
                <c:formatCode>"¥"#,##0.00_);[Red]\("¥"#,##0.00\)</c:formatCode>
                <c:ptCount val="12"/>
                <c:pt idx="0">
                  <c:v>1661.3</c:v>
                </c:pt>
                <c:pt idx="1">
                  <c:v>921.04</c:v>
                </c:pt>
                <c:pt idx="2">
                  <c:v>-1154.6600000000001</c:v>
                </c:pt>
                <c:pt idx="3">
                  <c:v>1325.68</c:v>
                </c:pt>
                <c:pt idx="4">
                  <c:v>682.14</c:v>
                </c:pt>
                <c:pt idx="5">
                  <c:v>1217.79</c:v>
                </c:pt>
                <c:pt idx="6">
                  <c:v>511.63</c:v>
                </c:pt>
                <c:pt idx="7" formatCode="&quot;¥&quot;#,##0.00_);[Red]\(&quot;¥&quot;#,##0.00\)">
                  <c:v>709.94</c:v>
                </c:pt>
                <c:pt idx="8" formatCode="&quot;¥&quot;#,##0.00_);[Red]\(&quot;¥&quot;#,##0.00\)">
                  <c:v>290.64</c:v>
                </c:pt>
                <c:pt idx="9" formatCode="&quot;¥&quot;#,##0.00_);[Red]\(&quot;¥&quot;#,##0.00\)">
                  <c:v>603.16999999999996</c:v>
                </c:pt>
                <c:pt idx="10" formatCode="&quot;¥&quot;#,##0.00_);[Red]\(&quot;¥&quot;#,##0.00\)">
                  <c:v>-91.75</c:v>
                </c:pt>
                <c:pt idx="11" formatCode="&quot;¥&quot;#,##0.00_);[Red]\(&quot;¥&quot;#,##0.00\)">
                  <c:v>289.77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2-4B1E-8DB4-82B93B7DC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787712"/>
        <c:axId val="204792032"/>
      </c:barChart>
      <c:lineChart>
        <c:grouping val="standard"/>
        <c:varyColors val="0"/>
        <c:ser>
          <c:idx val="6"/>
          <c:order val="7"/>
          <c:tx>
            <c:v>汇总</c:v>
          </c:tx>
          <c:spPr>
            <a:ln w="28575" cap="rnd">
              <a:solidFill>
                <a:srgbClr val="29C7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9C7FF"/>
              </a:solidFill>
              <a:ln w="9525">
                <a:solidFill>
                  <a:srgbClr val="29C7F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投资收益表!$B$12:$M$12</c:f>
              <c:numCache>
                <c:formatCode>"¥"#,##0.00_);[Red]\("¥"#,##0.00\)</c:formatCode>
                <c:ptCount val="12"/>
                <c:pt idx="0" formatCode="_ [$¥-804]* #,##0.00_ ;_ [$¥-804]* \-#,##0.00_ ;_ [$¥-804]* &quot;-&quot;??_ ;_ @_ ">
                  <c:v>7512</c:v>
                </c:pt>
                <c:pt idx="1">
                  <c:v>1971.6299999999999</c:v>
                </c:pt>
                <c:pt idx="2">
                  <c:v>-3159.0699999999997</c:v>
                </c:pt>
                <c:pt idx="3">
                  <c:v>5195.84</c:v>
                </c:pt>
                <c:pt idx="4">
                  <c:v>2158.7999999999997</c:v>
                </c:pt>
                <c:pt idx="5">
                  <c:v>2055.41</c:v>
                </c:pt>
                <c:pt idx="6">
                  <c:v>763.34999999999991</c:v>
                </c:pt>
                <c:pt idx="7" formatCode="&quot;¥&quot;#,##0.00_);\(&quot;¥&quot;#,##0.00\)">
                  <c:v>1282.23</c:v>
                </c:pt>
                <c:pt idx="8" formatCode="&quot;¥&quot;#,##0.00_);\(&quot;¥&quot;#,##0.00\)">
                  <c:v>516.82000000000005</c:v>
                </c:pt>
                <c:pt idx="9" formatCode="&quot;¥&quot;#,##0.00_);\(&quot;¥&quot;#,##0.00\)">
                  <c:v>2841.37</c:v>
                </c:pt>
                <c:pt idx="10" formatCode="&quot;¥&quot;#,##0.00_);\(&quot;¥&quot;#,##0.00\)">
                  <c:v>734.51</c:v>
                </c:pt>
                <c:pt idx="11" formatCode="&quot;¥&quot;#,##0.00_);\(&quot;¥&quot;#,##0.00\)">
                  <c:v>518.43999999999994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0-443D-90B3-7C45FFCF7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87712"/>
        <c:axId val="204792032"/>
        <c:extLst>
          <c:ext xmlns:c15="http://schemas.microsoft.com/office/drawing/2012/chart" uri="{02D57815-91ED-43cb-92C2-25804820EDAC}">
            <c15:filteredLineSeries>
              <c15:ser>
                <c:idx val="10"/>
                <c:order val="5"/>
                <c:tx>
                  <c:strRef>
                    <c:extLst>
                      <c:ext uri="{02D57815-91ED-43cb-92C2-25804820EDAC}">
                        <c15:formulaRef>
                          <c15:sqref>投资收益表!$A$13</c15:sqref>
                        </c15:formulaRef>
                      </c:ext>
                    </c:extLst>
                    <c:strCache>
                      <c:ptCount val="1"/>
                      <c:pt idx="0">
                        <c:v>环比增长C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2"/>
                    <c:layout>
                      <c:manualLayout>
                        <c:x val="-2.8957460412880207E-2"/>
                        <c:y val="-8.721534784804103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2E27-4022-97C1-164AE5792DAE}"/>
                      </c:ext>
                    </c:extLst>
                  </c:dLbl>
                  <c:dLbl>
                    <c:idx val="4"/>
                    <c:layout>
                      <c:manualLayout>
                        <c:x val="-2.8957460412880161E-2"/>
                        <c:y val="-5.358637421613023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2E27-4022-97C1-164AE5792DA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投资收益表!$B$4:$M$4</c15:sqref>
                        </c15:formulaRef>
                      </c:ext>
                    </c:extLst>
                    <c:strCache>
                      <c:ptCount val="12"/>
                      <c:pt idx="0">
                        <c:v> 1月 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投资收益表!$B$13:$M$13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13.489622714296738</c:v>
                      </c:pt>
                      <c:pt idx="1">
                        <c:v>-0.73753594249201282</c:v>
                      </c:pt>
                      <c:pt idx="2">
                        <c:v>-2.6022631021033358</c:v>
                      </c:pt>
                      <c:pt idx="3">
                        <c:v>-2.644737216965753</c:v>
                      </c:pt>
                      <c:pt idx="4">
                        <c:v>-0.5845137648580403</c:v>
                      </c:pt>
                      <c:pt idx="5">
                        <c:v>-4.7892347600518748E-2</c:v>
                      </c:pt>
                      <c:pt idx="6">
                        <c:v>-0.62861424241392228</c:v>
                      </c:pt>
                      <c:pt idx="7">
                        <c:v>0.67974061701709587</c:v>
                      </c:pt>
                      <c:pt idx="8">
                        <c:v>-0.5969365870397666</c:v>
                      </c:pt>
                      <c:pt idx="9">
                        <c:v>4.4977942030107183</c:v>
                      </c:pt>
                      <c:pt idx="10">
                        <c:v>-0.74149441994530807</c:v>
                      </c:pt>
                      <c:pt idx="11">
                        <c:v>-0.29416890171679089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2E27-4022-97C1-164AE5792DAE}"/>
                  </c:ext>
                </c:extLst>
              </c15:ser>
            </c15:filteredLineSeries>
          </c:ext>
        </c:extLst>
      </c:lineChart>
      <c:catAx>
        <c:axId val="20478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792032"/>
        <c:crosses val="autoZero"/>
        <c:auto val="1"/>
        <c:lblAlgn val="ctr"/>
        <c:lblOffset val="100"/>
        <c:noMultiLvlLbl val="0"/>
      </c:catAx>
      <c:valAx>
        <c:axId val="20479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39000"/>
                </a:schemeClr>
              </a:solidFill>
              <a:prstDash val="sysDot"/>
              <a:round/>
            </a:ln>
            <a:effectLst/>
          </c:spPr>
        </c:majorGridlines>
        <c:numFmt formatCode="&quot;¥&quot;#,##0.00_);[Red]\(&quot;¥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tint val="75000"/>
                    <a:shade val="95000"/>
                    <a:satMod val="105000"/>
                  </a:srgbClr>
                </a:solidFill>
                <a:prstDash val="solid"/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78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投资收益表!$J$15</c:f>
              <c:strCache>
                <c:ptCount val="1"/>
                <c:pt idx="0">
                  <c:v>当前比例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3262AA2-76FC-4C4F-9363-478B211D49D8}" type="CELLREF">
                      <a:rPr lang="en-US" altLang="zh-CN"/>
                      <a:pPr/>
                      <a:t>[CELLREF]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{33262AA2-76FC-4C4F-9363-478B211D49D8}</c15:txfldGUID>
                      <c15:f>投资收益表!$J$16</c15:f>
                      <c15:dlblFieldTableCache>
                        <c:ptCount val="1"/>
                        <c:pt idx="0">
                          <c:v>96.0%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7540-4456-894C-089A1961D72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3CC1CB9-3ADC-432A-98C5-F5F0DB066A3D}" type="CELLREF">
                      <a:rPr lang="en-US" altLang="zh-CN"/>
                      <a:pPr/>
                      <a:t>[CELLREF]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{23CC1CB9-3ADC-432A-98C5-F5F0DB066A3D}</c15:txfldGUID>
                      <c15:f>投资收益表!$J$17</c15:f>
                      <c15:dlblFieldTableCache>
                        <c:ptCount val="1"/>
                        <c:pt idx="0">
                          <c:v>0.0%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7540-4456-894C-089A1961D72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E8B152A-B1BE-4C27-A46A-28C3FD9F111A}" type="CELLREF">
                      <a:rPr lang="en-US" altLang="zh-CN"/>
                      <a:pPr/>
                      <a:t>[CELLREF]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{8E8B152A-B1BE-4C27-A46A-28C3FD9F111A}</c15:txfldGUID>
                      <c15:f>投资收益表!$J$18</c15:f>
                      <c15:dlblFieldTableCache>
                        <c:ptCount val="1"/>
                        <c:pt idx="0">
                          <c:v>0.3%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7540-4456-894C-089A1961D72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4468D90-1951-49DB-9F8D-BF3E6561D37F}" type="CELLREF">
                      <a:rPr lang="en-US" altLang="zh-CN"/>
                      <a:pPr/>
                      <a:t>[CELLREF]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{54468D90-1951-49DB-9F8D-BF3E6561D37F}</c15:txfldGUID>
                      <c15:f>投资收益表!$J$19</c15:f>
                      <c15:dlblFieldTableCache>
                        <c:ptCount val="1"/>
                        <c:pt idx="0">
                          <c:v>3.6%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7540-4456-894C-089A1961D72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6161B60-8AB7-40CD-AC7D-093D6D54749A}" type="CELLREF">
                      <a:rPr lang="en-US" altLang="zh-CN"/>
                      <a:pPr/>
                      <a:t>[CELLREF]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{66161B60-8AB7-40CD-AC7D-093D6D54749A}</c15:txfldGUID>
                      <c15:f>投资收益表!$J$20</c15:f>
                      <c15:dlblFieldTableCache>
                        <c:ptCount val="1"/>
                        <c:pt idx="0">
                          <c:v>0.1%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7540-4456-894C-089A1961D7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投资收益表!$B$16:$B$22</c:f>
              <c:strCache>
                <c:ptCount val="5"/>
                <c:pt idx="0">
                  <c:v>Refreshing</c:v>
                </c:pt>
                <c:pt idx="1">
                  <c:v>Refreshing</c:v>
                </c:pt>
                <c:pt idx="2">
                  <c:v>Refreshing</c:v>
                </c:pt>
                <c:pt idx="3">
                  <c:v>Refreshing</c:v>
                </c:pt>
                <c:pt idx="4">
                  <c:v>Refreshing</c:v>
                </c:pt>
              </c:strCache>
            </c:strRef>
          </c:cat>
          <c:val>
            <c:numRef>
              <c:f>Kutools_Chart!$A$168:$A$174</c:f>
              <c:numCache>
                <c:formatCode>General</c:formatCode>
                <c:ptCount val="7"/>
                <c:pt idx="0">
                  <c:v>0.5</c:v>
                </c:pt>
                <c:pt idx="1">
                  <c:v>0</c:v>
                </c:pt>
                <c:pt idx="2">
                  <c:v>3.0371469166652716E-3</c:v>
                </c:pt>
                <c:pt idx="3">
                  <c:v>3.5650055109699944E-2</c:v>
                </c:pt>
                <c:pt idx="4">
                  <c:v>1.4655904874299941E-3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0-4456-894C-089A1961D72C}"/>
            </c:ext>
          </c:extLst>
        </c:ser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val>
            <c:numRef>
              <c:f>Kutools_Chart!$B$168:$B$174</c:f>
              <c:numCache>
                <c:formatCode>General</c:formatCode>
                <c:ptCount val="7"/>
                <c:pt idx="0">
                  <c:v>0.45984720748620489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</c:v>
                </c:pt>
                <c:pt idx="6">
                  <c:v>2.0548226688036822E-5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0-4456-894C-089A1961D72C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val>
            <c:numRef>
              <c:f>Kutools_Chart!$C$168:$C$174</c:f>
              <c:numCache>
                <c:formatCode>General</c:formatCode>
                <c:ptCount val="7"/>
                <c:pt idx="0">
                  <c:v>#N/A</c:v>
                </c:pt>
                <c:pt idx="1">
                  <c:v>0.15</c:v>
                </c:pt>
                <c:pt idx="2">
                  <c:v>0.14696285308333473</c:v>
                </c:pt>
                <c:pt idx="3">
                  <c:v>0.11434994489030005</c:v>
                </c:pt>
                <c:pt idx="4">
                  <c:v>4.8534409512570008E-2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40-4456-894C-089A1961D72C}"/>
            </c:ext>
          </c:extLst>
        </c:ser>
        <c:ser>
          <c:idx val="3"/>
          <c:order val="3"/>
          <c:spPr>
            <a:solidFill>
              <a:srgbClr val="F1592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E622D5D-D98B-430B-89D3-1A46FEDD6394}" type="CELLREF">
                      <a:rPr lang="en-US" altLang="zh-CN"/>
                      <a:pPr/>
                      <a:t>[CELLREF]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{BE622D5D-D98B-430B-89D3-1A46FEDD6394}</c15:txfldGUID>
                      <c15:f>Kutools_Chart!$E$168</c15:f>
                      <c15:dlblFieldTableCache>
                        <c:ptCount val="1"/>
                        <c:pt idx="0">
                          <c:v>46%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7540-4456-894C-089A1961D72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E439D8F-4904-477B-BE8E-D41C37F32D84}" type="CELLREF">
                      <a:rPr lang="en-US" altLang="zh-CN"/>
                      <a:pPr/>
                      <a:t>[CELLREF]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{CE439D8F-4904-477B-BE8E-D41C37F32D84}</c15:txfldGUID>
                      <c15:f>Kutools_Chart!$E$169</c15:f>
                      <c15:dlblFieldTableCache>
                        <c:ptCount val="1"/>
                        <c:pt idx="0">
                          <c:v>-15%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7540-4456-894C-089A1961D72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9ADA4A2-1558-40C0-938B-15F8CC892BE2}" type="CELLREF">
                      <a:rPr lang="en-US" altLang="zh-CN"/>
                      <a:pPr/>
                      <a:t>[CELLREF]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{29ADA4A2-1558-40C0-938B-15F8CC892BE2}</c15:txfldGUID>
                      <c15:f>Kutools_Chart!$E$170</c15:f>
                      <c15:dlblFieldTableCache>
                        <c:ptCount val="1"/>
                        <c:pt idx="0">
                          <c:v>-15%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7540-4456-894C-089A1961D72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671E928-9984-4BAE-B46C-DD1E00D5F94B}" type="CELLREF">
                      <a:rPr lang="en-US" altLang="zh-CN"/>
                      <a:pPr/>
                      <a:t>[CELLREF]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{C671E928-9984-4BAE-B46C-DD1E00D5F94B}</c15:txfldGUID>
                      <c15:f>Kutools_Chart!$E$171</c15:f>
                      <c15:dlblFieldTableCache>
                        <c:ptCount val="1"/>
                        <c:pt idx="0">
                          <c:v>-11%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7540-4456-894C-089A1961D72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5E253BD-3212-433D-8E73-3B9D477B1C91}" type="CELLREF">
                      <a:rPr lang="en-US" altLang="zh-CN"/>
                      <a:pPr/>
                      <a:t>[CELLREF]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{25E253BD-3212-433D-8E73-3B9D477B1C91}</c15:txfldGUID>
                      <c15:f>Kutools_Chart!$E$172</c15:f>
                      <c15:dlblFieldTableCache>
                        <c:ptCount val="1"/>
                        <c:pt idx="0">
                          <c:v>-5%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7540-4456-894C-089A1961D7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Kutools_Chart!$D$168:$D$174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40-4456-894C-089A1961D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19363743"/>
        <c:axId val="2119362303"/>
      </c:barChart>
      <c:catAx>
        <c:axId val="2119363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9362303"/>
        <c:crosses val="autoZero"/>
        <c:auto val="1"/>
        <c:lblAlgn val="ctr"/>
        <c:lblOffset val="100"/>
        <c:noMultiLvlLbl val="0"/>
      </c:catAx>
      <c:valAx>
        <c:axId val="211936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936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simple" dx="17" sel="0" val="0" widthMin="275"/>
</file>

<file path=xl/ctrlProps/ctrlProp2.xml><?xml version="1.0" encoding="utf-8"?>
<formControlPr xmlns="http://schemas.microsoft.com/office/spreadsheetml/2009/9/main" objectType="Drop" dropStyle="simple" dx="17" sel="0" val="0" widthMin="140"/>
</file>

<file path=xl/ctrlProps/ctrlProp3.xml><?xml version="1.0" encoding="utf-8"?>
<formControlPr xmlns="http://schemas.microsoft.com/office/spreadsheetml/2009/9/main" objectType="Drop" dropLines="10" dropStyle="simple" dx="17" sel="0" val="0" widthMin="64"/>
</file>

<file path=xl/ctrlProps/ctrlProp4.xml><?xml version="1.0" encoding="utf-8"?>
<formControlPr xmlns="http://schemas.microsoft.com/office/spreadsheetml/2009/9/main" objectType="Drop" dropLines="10" dropStyle="simple" dx="17" sel="0" val="0" widthMin="109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 /><Relationship Id="rId2" Type="http://schemas.openxmlformats.org/officeDocument/2006/relationships/chart" Target="../charts/chart6.xml" /><Relationship Id="rId1" Type="http://schemas.openxmlformats.org/officeDocument/2006/relationships/chart" Target="../charts/chart5.xml" /><Relationship Id="rId5" Type="http://schemas.openxmlformats.org/officeDocument/2006/relationships/image" Target="../media/image1.png" /><Relationship Id="rId4" Type="http://schemas.openxmlformats.org/officeDocument/2006/relationships/chart" Target="../charts/chart8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502023</xdr:colOff>
      <xdr:row>1</xdr:row>
      <xdr:rowOff>204320</xdr:rowOff>
    </xdr:from>
    <xdr:to>
      <xdr:col>14</xdr:col>
      <xdr:colOff>1147546</xdr:colOff>
      <xdr:row>2</xdr:row>
      <xdr:rowOff>3026771</xdr:rowOff>
    </xdr:to>
    <xdr:graphicFrame macro="">
      <xdr:nvGraphicFramePr>
        <xdr:cNvPr id="2" name="ExpenseTrends" descr="按类别显示每月支出的柱形图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98320</xdr:colOff>
      <xdr:row>0</xdr:row>
      <xdr:rowOff>312174</xdr:rowOff>
    </xdr:from>
    <xdr:to>
      <xdr:col>20</xdr:col>
      <xdr:colOff>172064</xdr:colOff>
      <xdr:row>2</xdr:row>
      <xdr:rowOff>2974258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D0DFA37-4E52-AFDB-491D-6A8253A3B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10888</xdr:colOff>
      <xdr:row>15</xdr:row>
      <xdr:rowOff>202580</xdr:rowOff>
    </xdr:from>
    <xdr:to>
      <xdr:col>14</xdr:col>
      <xdr:colOff>544287</xdr:colOff>
      <xdr:row>26</xdr:row>
      <xdr:rowOff>156261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3712D26-E636-544B-EC4E-3A8E4FC52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348343</xdr:colOff>
      <xdr:row>15</xdr:row>
      <xdr:rowOff>272143</xdr:rowOff>
    </xdr:from>
    <xdr:to>
      <xdr:col>19</xdr:col>
      <xdr:colOff>457201</xdr:colOff>
      <xdr:row>25</xdr:row>
      <xdr:rowOff>261258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A6CCE83-A48D-0B7C-13C5-41EC2CF63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1334503</xdr:colOff>
      <xdr:row>2</xdr:row>
      <xdr:rowOff>156609</xdr:rowOff>
    </xdr:from>
    <xdr:to>
      <xdr:col>32</xdr:col>
      <xdr:colOff>21940</xdr:colOff>
      <xdr:row>2</xdr:row>
      <xdr:rowOff>2225040</xdr:rowOff>
    </xdr:to>
    <xdr:graphicFrame macro="">
      <xdr:nvGraphicFramePr>
        <xdr:cNvPr id="2" name="ExpenseTrends" descr="按类别显示每月支出的柱形图">
          <a:extLst>
            <a:ext uri="{FF2B5EF4-FFF2-40B4-BE49-F238E27FC236}">
              <a16:creationId xmlns:a16="http://schemas.microsoft.com/office/drawing/2014/main" id="{0E5FC6C9-1658-43B6-B2C3-E2CC6D5D3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603021</xdr:colOff>
      <xdr:row>1</xdr:row>
      <xdr:rowOff>2129</xdr:rowOff>
    </xdr:from>
    <xdr:to>
      <xdr:col>19</xdr:col>
      <xdr:colOff>397823</xdr:colOff>
      <xdr:row>2</xdr:row>
      <xdr:rowOff>2972279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6B2E4BF-D438-41E7-99A2-484169AF2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900951</xdr:colOff>
      <xdr:row>2</xdr:row>
      <xdr:rowOff>36501</xdr:rowOff>
    </xdr:from>
    <xdr:to>
      <xdr:col>14</xdr:col>
      <xdr:colOff>10886</xdr:colOff>
      <xdr:row>2</xdr:row>
      <xdr:rowOff>3258671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4418A95-02B0-42B8-880A-C2E3E8F34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511139</xdr:colOff>
      <xdr:row>14</xdr:row>
      <xdr:rowOff>135112</xdr:rowOff>
    </xdr:from>
    <xdr:to>
      <xdr:col>16</xdr:col>
      <xdr:colOff>448876</xdr:colOff>
      <xdr:row>23</xdr:row>
      <xdr:rowOff>72359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20AA0362-20EC-A704-F2A0-D2602EC4C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636492</xdr:colOff>
      <xdr:row>49</xdr:row>
      <xdr:rowOff>219971</xdr:rowOff>
    </xdr:from>
    <xdr:to>
      <xdr:col>10</xdr:col>
      <xdr:colOff>796130</xdr:colOff>
      <xdr:row>54</xdr:row>
      <xdr:rowOff>98611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75B5D5D-E644-7D90-2CF4-D5069AB75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87316" y="20274018"/>
          <a:ext cx="5278486" cy="26666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</xdr:row>
          <xdr:rowOff>0</xdr:rowOff>
        </xdr:from>
        <xdr:to>
          <xdr:col>7</xdr:col>
          <xdr:colOff>198120</xdr:colOff>
          <xdr:row>12</xdr:row>
          <xdr:rowOff>0</xdr:rowOff>
        </xdr:to>
        <xdr:sp macro="" textlink="">
          <xdr:nvSpPr>
            <xdr:cNvPr id="23559" name=" 7" hidden="1">
              <a:extLst>
                <a:ext uri="{63B3BB69-23CF-44E3-9099-C40C66FF867C}">
                  <a14:compatExt spid="_x0000_s23559"/>
                </a:ext>
                <a:ext uri="{FF2B5EF4-FFF2-40B4-BE49-F238E27FC236}">
                  <a16:creationId xmlns:a16="http://schemas.microsoft.com/office/drawing/2014/main" id="{00000000-0008-0000-0900-00000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15</xdr:row>
          <xdr:rowOff>0</xdr:rowOff>
        </xdr:from>
        <xdr:to>
          <xdr:col>5</xdr:col>
          <xdr:colOff>198120</xdr:colOff>
          <xdr:row>16</xdr:row>
          <xdr:rowOff>0</xdr:rowOff>
        </xdr:to>
        <xdr:sp macro="" textlink="">
          <xdr:nvSpPr>
            <xdr:cNvPr id="27662" name=" 14" hidden="1">
              <a:extLst>
                <a:ext uri="{63B3BB69-23CF-44E3-9099-C40C66FF867C}">
                  <a14:compatExt spid="_x0000_s27662"/>
                </a:ext>
                <a:ext uri="{FF2B5EF4-FFF2-40B4-BE49-F238E27FC236}">
                  <a16:creationId xmlns:a16="http://schemas.microsoft.com/office/drawing/2014/main" id="{00000000-0008-0000-0A00-00000E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</xdr:row>
          <xdr:rowOff>0</xdr:rowOff>
        </xdr:from>
        <xdr:to>
          <xdr:col>6</xdr:col>
          <xdr:colOff>0</xdr:colOff>
          <xdr:row>12</xdr:row>
          <xdr:rowOff>0</xdr:rowOff>
        </xdr:to>
        <xdr:sp macro="" textlink="">
          <xdr:nvSpPr>
            <xdr:cNvPr id="13314" name="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C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0</xdr:row>
          <xdr:rowOff>0</xdr:rowOff>
        </xdr:from>
        <xdr:to>
          <xdr:col>7</xdr:col>
          <xdr:colOff>0</xdr:colOff>
          <xdr:row>1</xdr:row>
          <xdr:rowOff>0</xdr:rowOff>
        </xdr:to>
        <xdr:sp macro="" textlink="">
          <xdr:nvSpPr>
            <xdr:cNvPr id="14338" name="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D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D:/Eastmoney/Choice/config/Office/WinExcel/EMFunc.xla" TargetMode="External" /><Relationship Id="rId1" Type="http://schemas.openxmlformats.org/officeDocument/2006/relationships/externalLinkPath" Target="file:///D:/Eastmoney/Choice/config/Office/WinExcel/EMFunc.xla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EMFunc"/>
    </sheetNames>
    <definedNames>
      <definedName name="EM_DATECOUNT"/>
      <definedName name="EM_F_INFO_NAME"/>
      <definedName name="EM_F_NQ_NAVCHANGE"/>
      <definedName name="EM_HKS_DQ_CLOSE"/>
      <definedName name="EM_S_DQ_CLOSE"/>
      <definedName name="EM_S_INFO_COMPNAME"/>
      <definedName name="EM_S_INFO_HKSHARENAME"/>
    </definedNames>
    <sheetDataSet>
      <sheetData sheetId="0"/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Ricky Zhang" id="{687D5274-1347-4846-A532-2C753820E0A9}" userId="437e24a62362151d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  <extLst>
        <x:ext xmlns:xlrvr="http://schemas.microsoft.com/office/spreadsheetml/2020/richvaluerefresh" uri="{6D21E516-79A1-49C6-A8DF-7D825B72F6C7}">
          <xlrvr:refreshIntervals>
            <xlrvr:refreshInterval resourceIdInt="268435456" interval="0"/>
          </xlrvr:refreshIntervals>
        </x:ext>
      </extLst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16">
  <rv s="0">
    <v>https://www.bing.com/financeapi/forcetrigger?t=a23hqh&amp;q=ARCX%3aSPY&amp;form=skydnc</v>
    <v>Learn more on Bing</v>
  </rv>
  <rv s="1">
    <v>en-US</v>
    <v>a23hqh</v>
    <v>268435456</v>
    <v>1</v>
    <v>Powered by Refinitiv</v>
    <v>0</v>
    <v>SPDR S&amp;P 500 (ARCX:SPY)</v>
    <v>2</v>
    <v>3</v>
    <v>Finance</v>
    <v>4</v>
    <v>673.95</v>
    <v>481.8</v>
    <v>0.99829999999999997</v>
    <v>-0.81</v>
    <v>-1.222E-3</v>
    <v>USD</v>
    <v>NYSE Arca</v>
    <v>ARCX</v>
    <v>9.4499999999999998E-4</v>
    <v>665.83</v>
    <v>ETF</v>
    <v>45944.999984513284</v>
    <v>0</v>
    <v>653.16999999999996</v>
    <v>672726673351.18994</v>
    <v>SPDR S&amp;P 500</v>
    <v>657.17</v>
    <v>663.04</v>
    <v>662.23</v>
    <v>SPY</v>
    <v>SPDR S&amp;P 500 (ARCX:SPY)</v>
    <v>935353</v>
    <v>78217000</v>
  </rv>
  <rv s="2">
    <v>1</v>
  </rv>
  <rv s="0">
    <v>https://www.bing.com/financeapi/forcetrigger?t=a22m27&amp;q=ARCX%3aSCHD&amp;form=skydnc</v>
    <v>Learn more on Bing</v>
  </rv>
  <rv s="1">
    <v>en-US</v>
    <v>a22m27</v>
    <v>268435456</v>
    <v>1</v>
    <v>Powered by Refinitiv</v>
    <v>0</v>
    <v>Schwab Str:US Div Eq ETF (ARCX:SCHD)</v>
    <v>2</v>
    <v>3</v>
    <v>Finance</v>
    <v>4</v>
    <v>29.72</v>
    <v>23.87</v>
    <v>0.94869999999999999</v>
    <v>0.24</v>
    <v>9.0119999999999992E-3</v>
    <v>USD</v>
    <v>NYSE Arca</v>
    <v>ARCX</v>
    <v>5.9999999999999995E-4</v>
    <v>26.92</v>
    <v>ETF</v>
    <v>45945.000000046093</v>
    <v>3</v>
    <v>26.44</v>
    <v>71546720418.940002</v>
    <v>Schwab Str:US Div Eq ETF</v>
    <v>26.46</v>
    <v>26.63</v>
    <v>26.87</v>
    <v>SCHD</v>
    <v>Schwab Str:US Div Eq ETF (ARCX:SCHD)</v>
    <v>276685</v>
    <v>18256484</v>
  </rv>
  <rv s="2">
    <v>4</v>
  </rv>
  <rv s="0">
    <v>https://www.bing.com/financeapi/forcetrigger?t=a21mim&amp;q=XNAS%3aQQQ&amp;form=skydnc</v>
    <v>Learn more on Bing</v>
  </rv>
  <rv s="1">
    <v>en-US</v>
    <v>a21mim</v>
    <v>268435456</v>
    <v>1</v>
    <v>Powered by Refinitiv</v>
    <v>0</v>
    <v>Invesco QQQ Trust 1 (XNAS:QQQ)</v>
    <v>2</v>
    <v>3</v>
    <v>Finance</v>
    <v>4</v>
    <v>637.01</v>
    <v>402.39</v>
    <v>1.0104</v>
    <v>2.6999</v>
    <v>4.3419999999999995E-3</v>
    <v>USD</v>
    <v>Nasdaq Stock Market</v>
    <v>XNAS</v>
    <v>1.8E-3</v>
    <v>624.91</v>
    <v>ETF</v>
    <v>46055.626854779686</v>
    <v>6</v>
    <v>618.70000000000005</v>
    <v>407171619195.83002</v>
    <v>Invesco QQQ Trust 1</v>
    <v>618.99</v>
    <v>621.87</v>
    <v>624.56989999999996</v>
    <v>QQQ</v>
    <v>Invesco QQQ Trust 1 (XNAS:QQQ)</v>
    <v>9998546</v>
    <v>49485835</v>
  </rv>
  <rv s="2">
    <v>7</v>
  </rv>
  <rv s="0">
    <v>https://www.bing.com/financeapi/forcetrigger?t=a1qzp2&amp;q=ARCX%3aDGRO&amp;form=skydnc</v>
    <v>Learn more on Bing</v>
  </rv>
  <rv s="1">
    <v>en-US</v>
    <v>a1qzp2</v>
    <v>268435456</v>
    <v>1</v>
    <v>Powered by Refinitiv</v>
    <v>0</v>
    <v>iShares:Core Div Growth (ARCX:DGRO)</v>
    <v>2</v>
    <v>3</v>
    <v>Finance</v>
    <v>4</v>
    <v>68.88</v>
    <v>54.09</v>
    <v>0.87129999999999996</v>
    <v>0.47</v>
    <v>6.953E-3</v>
    <v>USD</v>
    <v>NYSE Arca</v>
    <v>ARCX</v>
    <v>8.0000000000000004E-4</v>
    <v>68.274199999999993</v>
    <v>ETF</v>
    <v>45945.000001075779</v>
    <v>9</v>
    <v>67.099999999999994</v>
    <v>34413136009.540001</v>
    <v>iShares:Core Div Growth</v>
    <v>67.19</v>
    <v>67.599999999999994</v>
    <v>68.069999999999993</v>
    <v>DGRO</v>
    <v>iShares:Core Div Growth (ARCX:DGRO)</v>
    <v>804</v>
    <v>1703446</v>
  </rv>
  <rv s="2">
    <v>10</v>
  </rv>
  <rv s="3">
    <v>en-US</v>
    <v>avbknm</v>
    <v>268435456</v>
    <v>1</v>
    <v>Powered by Refinitiv</v>
    <v>5</v>
    <v>HKD/CNY</v>
    <v>6</v>
    <v>7</v>
    <v>Finance</v>
    <v>8</v>
    <v>0.94799999999999995</v>
    <v>0.90859999999999996</v>
    <v>-1.47E-3</v>
    <v>-1.601E-3</v>
    <v>CNY</v>
    <v>HKD</v>
    <v>0.91849999999999998</v>
    <v>Currency Pair</v>
    <v>45945.520578703705</v>
    <v>0.91600000000000004</v>
    <v>Hong Kong Dollar/Chinese Renminbi FX Cross Rate</v>
    <v>0.91820000000000002</v>
    <v>0.91820000000000002</v>
    <v>0.91669999999999996</v>
    <v>HKDCNY</v>
    <v>HKD/CNY</v>
  </rv>
  <rv s="2">
    <v>12</v>
  </rv>
  <rv s="3">
    <v>en-US</v>
    <v>avym77</v>
    <v>268435456</v>
    <v>1</v>
    <v>Powered by Refinitiv</v>
    <v>5</v>
    <v>USD/CNY</v>
    <v>6</v>
    <v>7</v>
    <v>Finance</v>
    <v>8</v>
    <v>7.3509000000000002</v>
    <v>7.0620000000000003</v>
    <v>-1.2E-2</v>
    <v>-1.681E-3</v>
    <v>CNY</v>
    <v>USD</v>
    <v>7.1288</v>
    <v>Currency Pair</v>
    <v>45945.518831018519</v>
    <v>7.1237000000000004</v>
    <v>US Dollar/Chinese Renminbi FX Spot Rate</v>
    <v>7.1265999999999998</v>
    <v>7.1383999999999999</v>
    <v>7.1264000000000003</v>
    <v>USDCNY</v>
    <v>USD/CNY</v>
  </rv>
  <rv s="2">
    <v>14</v>
  </rv>
</rvData>
</file>

<file path=xl/richData/rdrichvaluestructure.xml><?xml version="1.0" encoding="utf-8"?>
<rvStructures xmlns="http://schemas.microsoft.com/office/spreadsheetml/2017/richdata" count="4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Beta"/>
    <k n="Change"/>
    <k n="Change (%)"/>
    <k n="Currency" t="s"/>
    <k n="Exchange" t="s"/>
    <k n="Exchange abbreviation" t="s"/>
    <k n="Expense ratio"/>
    <k n="High"/>
    <k n="Instrument type" t="s"/>
    <k n="Last trade time"/>
    <k n="LearnMoreOnLink" t="r"/>
    <k n="Low"/>
    <k n="Market cap"/>
    <k n="Name" t="s"/>
    <k n="Open"/>
    <k n="Previous close"/>
    <k n="Price"/>
    <k n="Ticker symbol" t="s"/>
    <k n="UniqueName" t="s"/>
    <k n="Volume"/>
    <k n="Volume average"/>
  </s>
  <s t="_linkedentity">
    <k n="%cvi" t="r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</rvStructures>
</file>

<file path=xl/richData/rdsupportingpropertybag.xml><?xml version="1.0" encoding="utf-8"?>
<supportingPropertyBags xmlns="http://schemas.microsoft.com/office/spreadsheetml/2017/richdata2">
  <spbArrays count="2">
    <a count="34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Expense ratio</v>
      <v t="s">Change (%)</v>
      <v t="s">Currency</v>
      <v t="s">Previous close</v>
      <v t="s">Open</v>
      <v t="s">High</v>
      <v t="s">Low</v>
      <v t="s">52 week high</v>
      <v t="s">52 week low</v>
      <v t="s">Volume</v>
      <v t="s">Volume average</v>
      <v t="s">Market cap</v>
      <v t="s">Beta</v>
      <v t="s">Instrument type</v>
      <v t="s">_Flags</v>
      <v t="s">UniqueName</v>
      <v t="s">_DisplayString</v>
      <v t="s">LearnMoreOnLink</v>
      <v t="s">%ProviderInfo</v>
    </a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9">
    <spb s="0">
      <v>0</v>
      <v>Name</v>
      <v>LearnMoreOnLink</v>
    </spb>
    <spb s="1">
      <v>0</v>
      <v>0</v>
      <v>0</v>
    </spb>
    <spb s="2">
      <v>1</v>
      <v>1</v>
      <v>1</v>
    </spb>
    <spb s="3">
      <v>1</v>
      <v>2</v>
      <v>1</v>
      <v>3</v>
      <v>1</v>
      <v>1</v>
      <v>1</v>
      <v>4</v>
      <v>5</v>
      <v>6</v>
      <v>1</v>
      <v>1</v>
      <v>5</v>
      <v>1</v>
      <v>4</v>
      <v>7</v>
      <v>8</v>
    </spb>
    <spb s="4">
      <v>Real-Time Nasdaq Last Sale</v>
      <v>from previous close</v>
      <v>Source: Nasdaq Last Sale</v>
      <v>from previous close</v>
      <v>GMT</v>
    </spb>
    <spb s="5">
      <v>1</v>
      <v>Name</v>
    </spb>
    <spb s="6">
      <v>1</v>
      <v>1</v>
    </spb>
    <spb s="7">
      <v>9</v>
      <v>9</v>
      <v>3</v>
      <v>9</v>
      <v>9</v>
      <v>9</v>
      <v>5</v>
      <v>9</v>
      <v>9</v>
      <v>9</v>
      <v>7</v>
      <v>8</v>
    </spb>
    <spb s="8">
      <v>GMT</v>
    </spb>
  </spbData>
</supportingPropertyBags>
</file>

<file path=xl/richData/rdsupportingpropertybagstructure.xml><?xml version="1.0" encoding="utf-8"?>
<spbStructures xmlns="http://schemas.microsoft.com/office/spreadsheetml/2017/richdata2" count="9"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Low" t="i"/>
    <k n="Beta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Expense ratio" t="i"/>
    <k n="Previous close" t="i"/>
    <k n="Volume average" t="i"/>
    <k n="Last trade time" t="i"/>
    <k n="`%EntityServiceId" t="i"/>
  </s>
  <s>
    <k n="Price" t="s"/>
    <k n="Change" t="s"/>
    <k n="Exchange" t="s"/>
    <k n="Change (%)" t="s"/>
    <k n="Last trade time" t="s"/>
  </s>
  <s>
    <k n="^Order" t="spba"/>
    <k n="TitleProperty" t="s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5">
    <x:dxf>
      <x:numFmt numFmtId="0" formatCode="General"/>
    </x:dxf>
    <x:dxf>
      <x:numFmt numFmtId="27" formatCode="yyyy/m/d\ h:mm"/>
    </x:dxf>
    <x:dxf>
      <x:numFmt numFmtId="14" formatCode="0.00%"/>
    </x:dxf>
    <x:dxf>
      <x:numFmt numFmtId="6" formatCode="#,##0;[Red]\-#,##0"/>
    </x:dxf>
    <x:dxf>
      <x:numFmt numFmtId="8" formatCode="#,##0.00;[Red]\-#,##0.00"/>
    </x:dxf>
  </dxfs>
  <richProperties>
    <rPr n="NumberFormat" t="s"/>
    <rPr n="IsTitleField" t="b"/>
  </richProperties>
  <richStyles>
    <rSty dxfid="0">
      <rpv i="0">_([$$-en-US]* #,##0.00_);_([$$-en-US]* (#,##0.00);_([$$-en-US]* "-"??_);_(@_)</rpv>
    </rSty>
    <rSty dxfid="4">
      <rpv i="0">#,##0.00_);[Red](#,##0.00)</rpv>
    </rSty>
    <rSty>
      <rpv i="1">1</rpv>
    </rSty>
    <rSty dxfid="3">
      <rpv i="0">#,##0_);[Red](#,##0)</rpv>
    </rSty>
    <rSty dxfid="2"/>
    <rSty dxfid="0">
      <rpv i="0">_([$$-en-US]* #,##0_);_([$$-en-US]* (#,##0);_([$$-en-US]* "-"_);_(@_)</rpv>
    </rSty>
    <rSty dxfid="1"/>
    <rSty dxfid="0">
      <rpv i="0">0.00_);[Red](0.00)</rpv>
    </rSty>
    <rSty dxfid="0">
      <rpv i="0" xml:space="preserve">_ [$¥-zh-CN]* #,##0.00_ ;_ [$¥-zh-CN]* -#,##0.00_ ;_ [$¥-zh-CN]* "-"??_ ;_ @_ 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资产摘要" displayName="资产摘要" ref="A4:T14" totalsRowCount="1" headerRowDxfId="620" dataDxfId="619" totalsRowDxfId="618">
  <autoFilter ref="A4:T13" xr:uid="{00000000-0009-0000-0100-00000E000000}"/>
  <sortState xmlns:xlrd2="http://schemas.microsoft.com/office/spreadsheetml/2017/richdata2" ref="A5:T13">
    <sortCondition descending="1" sortBy="cellColor" ref="A5:A13" dxfId="617"/>
  </sortState>
  <tableColumns count="20">
    <tableColumn id="1" xr3:uid="{00000000-0010-0000-0000-000001000000}" name="资产归属" totalsRowFunction="custom" dataDxfId="616" totalsRowDxfId="615">
      <totalsRowFormula array="1">IFERROR(
    _xlfn.LET(
        _xlpm.data, B14:M14,
        _xlpm.nonZeroData, IF(_xlpm.data&gt;0, _xlpm.data, ""),
        _xlpm.minVal, MIN(_xlpm.nonZeroData),
        _xlpm.maxVal, MAX(_xlpm.data),
        _xlpm.startPos, MATCH(_xlpm.minVal, _xlpm.nonZeroData, 0),
        _xlpm.endPos, MATCH(_xlpm.maxVal, _xlpm.data, 0),
        _xlpm.startDate, INDEX(B2:M2, _xlpm.startPos),
        _xlpm.endDate, INDEX(B2:M2, _xlpm.endPos),
        IF(_xlpm.endDate &lt; _xlpm.startDate, "",
            (_xlpm.maxVal / _xlpm.minVal) -1
        )
    ),
    ""
)</totalsRowFormula>
    </tableColumn>
    <tableColumn id="2" xr3:uid="{00000000-0010-0000-0000-000002000000}" name="1月" totalsRowFunction="sum" dataDxfId="614" totalsRowDxfId="613">
      <calculatedColumnFormula>SUMIFS(ExpJan[金额],ExpJan[类别],资产摘要[[#This Row],[资产归属]])</calculatedColumnFormula>
    </tableColumn>
    <tableColumn id="3" xr3:uid="{00000000-0010-0000-0000-000003000000}" name="2月" totalsRowFunction="sum" dataDxfId="612" totalsRowDxfId="611">
      <calculatedColumnFormula>SUMIFS(ExpFeb[金额],ExpFeb[类别],资产摘要[[#This Row],[资产归属]])</calculatedColumnFormula>
    </tableColumn>
    <tableColumn id="4" xr3:uid="{00000000-0010-0000-0000-000004000000}" name="3月" totalsRowFunction="sum" dataDxfId="610" totalsRowDxfId="609">
      <calculatedColumnFormula>SUMIFS(ExpMar[金额],ExpMar[类别],资产摘要[[#This Row],[资产归属]])</calculatedColumnFormula>
    </tableColumn>
    <tableColumn id="5" xr3:uid="{00000000-0010-0000-0000-000005000000}" name="4月" totalsRowFunction="sum" dataDxfId="608" totalsRowDxfId="607">
      <calculatedColumnFormula>SUMIFS(ExpApr[金额],ExpApr[类别],资产摘要[[#This Row],[资产归属]])</calculatedColumnFormula>
    </tableColumn>
    <tableColumn id="6" xr3:uid="{00000000-0010-0000-0000-000006000000}" name="5月" totalsRowFunction="sum" dataDxfId="606" totalsRowDxfId="605">
      <calculatedColumnFormula>SUMIFS(ExpMay[金额],ExpMay[类别],资产摘要[[#This Row],[资产归属]])</calculatedColumnFormula>
    </tableColumn>
    <tableColumn id="7" xr3:uid="{00000000-0010-0000-0000-000007000000}" name="6月" totalsRowFunction="sum" dataDxfId="604" totalsRowDxfId="603">
      <calculatedColumnFormula>SUMIFS(ExpJun[金额],ExpJun[类别],资产摘要[[#This Row],[资产归属]])</calculatedColumnFormula>
    </tableColumn>
    <tableColumn id="8" xr3:uid="{00000000-0010-0000-0000-000008000000}" name="7月" totalsRowFunction="sum" dataDxfId="602" totalsRowDxfId="601">
      <calculatedColumnFormula>SUMIFS(ExpJul[金额],ExpJul[类别],资产摘要[[#This Row],[资产归属]])</calculatedColumnFormula>
    </tableColumn>
    <tableColumn id="9" xr3:uid="{00000000-0010-0000-0000-000009000000}" name="8月" totalsRowFunction="sum" dataDxfId="600" totalsRowDxfId="599">
      <calculatedColumnFormula>SUMIFS(ExpAug[金额],ExpAug[类别],资产摘要[[#This Row],[资产归属]])</calculatedColumnFormula>
    </tableColumn>
    <tableColumn id="10" xr3:uid="{00000000-0010-0000-0000-00000A000000}" name="9月" totalsRowFunction="sum" dataDxfId="598" totalsRowDxfId="597">
      <calculatedColumnFormula>SUMIFS(ExpSep[金额],ExpSep[类别],资产摘要[[#This Row],[资产归属]])</calculatedColumnFormula>
    </tableColumn>
    <tableColumn id="11" xr3:uid="{00000000-0010-0000-0000-00000B000000}" name="10月" totalsRowFunction="sum" dataDxfId="596" totalsRowDxfId="595">
      <calculatedColumnFormula>SUMIFS(ExpOct[金额],ExpOct[类别],资产摘要[[#This Row],[资产归属]])</calculatedColumnFormula>
    </tableColumn>
    <tableColumn id="12" xr3:uid="{00000000-0010-0000-0000-00000C000000}" name="11月" totalsRowFunction="sum" dataDxfId="594" totalsRowDxfId="593">
      <calculatedColumnFormula>SUMIFS(ExpNov[金额],ExpNov[类别],资产摘要[[#This Row],[资产归属]])</calculatedColumnFormula>
    </tableColumn>
    <tableColumn id="13" xr3:uid="{00000000-0010-0000-0000-00000D000000}" name="12月" totalsRowFunction="sum" dataDxfId="592" totalsRowDxfId="591">
      <calculatedColumnFormula>SUMIFS(ExpDec[金额],ExpDec[类别],资产摘要[[#This Row],[资产归属]])</calculatedColumnFormula>
    </tableColumn>
    <tableColumn id="20" xr3:uid="{7C474264-7DC0-4C8A-B9A2-B35D60567D8E}" name="差额小计" totalsRowFunction="sum" dataDxfId="590" totalsRowDxfId="589">
      <calculatedColumnFormula array="1">IFERROR(
    INDEX(B5:M5, MONTH(TODAY())) -
    INDEX(B5:M5, IF(MONTH(TODAY())=1, 12, MONTH(TODAY())-1)),
    "")</calculatedColumnFormula>
    </tableColumn>
    <tableColumn id="14" xr3:uid="{00000000-0010-0000-0000-00000E000000}" name="环比增长" totalsRowFunction="custom" dataDxfId="588" totalsRowDxfId="587" dataCellStyle="百分比">
      <calculatedColumnFormula array="1">资产摘要[[#This Row],[差额小计]]/INDEX(B5:M5,MONTH(TODAY()))</calculatedColumnFormula>
      <totalsRowFormula array="1">IFERROR(
    IF(
        INDEX(B14:M14, MONTH(TODAY())) = 0,
        INDEX(B14:M14, IF(MONTH(TODAY())=1, 12, MONTH(TODAY())-1)) -
        INDEX(B14:M14, IF(MONTH(TODAY())=1, 11, MONTH(TODAY())-2)),
        INDEX(B14:M14, MONTH(TODAY())) -
        INDEX(B14:M14, IF(MONTH(TODAY())=1, 12, MONTH(TODAY())-1))
    ),
    ""
)/
IFERROR(
    IF(
        INDEX(B14:M14, MONTH(TODAY())) = 0,
        INDEX(B14:M14,MONTH(TODAY())-1),
        INDEX(B14:M14,MONTH(TODAY()))    ),
    ""
)</totalsRowFormula>
    </tableColumn>
    <tableColumn id="15" xr3:uid="{00000000-0010-0000-0000-00000F000000}" name="趋势" totalsRowFunction="custom" dataDxfId="586" totalsRowDxfId="585">
      <totalsRowFormula array="1">IFERROR(
    _xlfn.LET(
        _xlpm.data, B14:M14,
        _xlpm.nonZeroData, IF(_xlpm.data&gt;0, _xlpm.data, ""),
        _xlpm.minVal, MIN(_xlpm.nonZeroData),
        _xlpm.maxVal, MAX(_xlpm.data),
        _xlpm.startPos, MATCH(_xlpm.minVal, _xlpm.nonZeroData, 0),
        _xlpm.endPos, MATCH(_xlpm.maxVal, _xlpm.data, 0),
        _xlpm.startDate, INDEX(B2:M2, _xlpm.startPos),
        _xlpm.endDate, INDEX(B2:M2, _xlpm.endPos),
        IF(_xlpm.endDate &lt; _xlpm.startDate, "",
            _xlfn.LET(
                _xlpm.months, DATEDIF(_xlpm.startDate, _xlpm.endDate, "m") +1,
                (_xlpm.maxVal / _xlpm.minVal) ^ (12/_xlpm.months) -1
            )
        )
    ),
    ""
)</totalsRowFormula>
    </tableColumn>
    <tableColumn id="16" xr3:uid="{44F402D7-E3F9-470D-8433-0121AB5A476A}" name="占比" totalsRowFunction="sum" dataDxfId="584" totalsRowDxfId="583" dataCellStyle="百分比">
      <calculatedColumnFormula>INDEX(资产摘要[#This Row], MATCH(TEXT(TODAY(),"m") &amp; "月", 资产摘要[#Headers], 0))/INDEX(资产摘要[#Totals], MATCH(TEXT(TODAY(),"m") &amp; "月", 资产摘要[#Headers], 0))</calculatedColumnFormula>
    </tableColumn>
    <tableColumn id="17" xr3:uid="{51366524-D40D-40C0-9134-99B65C04BD67}" name="意见" dataDxfId="582" totalsRowDxfId="581">
      <calculatedColumnFormula>IF(AND(资产摘要[[#This Row],[占比]]&gt;=资产摘要[[#This Row],[判定下限]], 资产摘要[[#This Row],[占比]]&lt;=资产摘要[[#This Row],[判定上限]]),"合理","不合理")</calculatedColumnFormula>
    </tableColumn>
    <tableColumn id="18" xr3:uid="{81F1CC51-437E-49EB-8A8E-F79FCBB8DA4E}" name="判定下限" totalsRowFunction="sum" dataDxfId="580" totalsRowDxfId="579"/>
    <tableColumn id="19" xr3:uid="{649E1A02-5510-4771-B56B-25EB2F7F2652}" name="判定上限" totalsRowFunction="sum" dataDxfId="578" totalsRowDxfId="577"/>
  </tableColumns>
  <tableStyleInfo name="摘要表" showFirstColumn="0" showLastColumn="1" showRowStripes="0" showColumnStripes="1"/>
  <extLst>
    <ext xmlns:x14="http://schemas.microsoft.com/office/spreadsheetml/2009/9/main" uri="{504A1905-F514-4f6f-8877-14C23A59335A}">
      <x14:table altTextSummary="显示按月份类别（从 1 月开始）汇总的每月支出的表。表格格式设置为与位于正上方的图表竖直对齐，使表中每个月与图中分组的每个月对齐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DAB7622-8878-46EC-BB90-F3A6D8D70E3E}" name="表31" displayName="表31" ref="U17:V22" totalsRowShown="0" headerRowDxfId="576">
  <autoFilter ref="U17:V22" xr:uid="{CDAB7622-8878-46EC-BB90-F3A6D8D70E3E}"/>
  <tableColumns count="2">
    <tableColumn id="1" xr3:uid="{9BFB2545-5D10-484D-A1C7-723B36540638}" name="预测年份" dataDxfId="575">
      <calculatedColumnFormula>U17+1</calculatedColumnFormula>
    </tableColumn>
    <tableColumn id="2" xr3:uid="{48DB7257-6C1A-419F-877A-53C3A588E1AB}" name="预测年末资产（元）" dataDxfId="574">
      <calculatedColumnFormula>MAX(资产摘要[[#Totals],[1月]:[12月]])* (1+$N$15)^( (U18 - YEAR(TODAY())) * 12 + (12 - MONTH(TODAY())) )</calculatedColumnFormula>
    </tableColumn>
  </tableColumns>
  <tableStyleInfo name="表样式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FA9FC3E-226A-4DE2-9134-E24DE2109192}" name="投资收益表" displayName="投资收益表" ref="A4:T12" totalsRowCount="1" headerRowDxfId="573" dataDxfId="572" totalsRowDxfId="571">
  <autoFilter ref="A4:T11" xr:uid="{00000000-0009-0000-0100-00000E000000}">
    <filterColumn colId="0">
      <filters>
        <filter val="东方财富（A股）"/>
        <filter val="基金（招行）"/>
        <filter val="长桥证券（美港股）"/>
      </filters>
    </filterColumn>
  </autoFilter>
  <sortState xmlns:xlrd2="http://schemas.microsoft.com/office/spreadsheetml/2017/richdata2" ref="A5:T11">
    <sortCondition sortBy="cellColor" ref="A4:A11" dxfId="570"/>
  </sortState>
  <tableColumns count="20">
    <tableColumn id="1" xr3:uid="{1D93373E-586A-4345-9505-E2A0CBC51CCF}" name="投资分类" totalsRowFunction="custom" dataDxfId="569" totalsRowDxfId="568">
      <totalsRowFormula array="1">IFERROR(
    _xlfn.LET(
        _xlpm.data, B12:M12,
        _xlpm.nonZeroData, IF(_xlpm.data&gt;0, _xlpm.data, ""),
        _xlpm.minVal, MIN(_xlpm.nonZeroData),
        _xlpm.maxVal, MAX(_xlpm.data),
        _xlpm.startPos, MATCH(_xlpm.minVal, _xlpm.nonZeroData, 0),
        _xlpm.endPos, MATCH(_xlpm.maxVal, _xlpm.data, 0),
        _xlpm.startDate, INDEX(B2:M2, _xlpm.startPos),
        _xlpm.endDate, INDEX(B2:M2, _xlpm.endPos),
        IF(_xlpm.endDate &lt; _xlpm.startDate, "",
            (_xlpm.maxVal / _xlpm.minVal) -1
        )
    ),
    ""
)</totalsRowFormula>
    </tableColumn>
    <tableColumn id="2" xr3:uid="{49F92E7B-4FAD-40C5-9680-2DE87B60509A}" name="1月" totalsRowFunction="sum" dataDxfId="567" totalsRowDxfId="566">
      <calculatedColumnFormula>SUMIFS(ExpJan[金额],ExpJan[分类],投资收益表[[#This Row],[投资分类]])</calculatedColumnFormula>
    </tableColumn>
    <tableColumn id="3" xr3:uid="{26C45906-2010-426F-8734-3D3FABD24956}" name="2月" totalsRowFunction="sum" dataDxfId="565" totalsRowDxfId="564">
      <calculatedColumnFormula>SUMIFS(ExpFeb[金额],ExpFeb[分类],投资收益表[[#This Row],[投资分类]])</calculatedColumnFormula>
    </tableColumn>
    <tableColumn id="4" xr3:uid="{04AC645C-0EBE-4A51-B153-4C192816E3E1}" name="3月" totalsRowFunction="sum" dataDxfId="563" totalsRowDxfId="562">
      <calculatedColumnFormula>SUMIFS(ExpMar[金额],ExpMar[分类],投资收益表[[#This Row],[投资分类]])</calculatedColumnFormula>
    </tableColumn>
    <tableColumn id="5" xr3:uid="{2F63E9D8-7AC5-4CD6-8F49-F4B8E33D4E91}" name="4月" totalsRowFunction="sum" dataDxfId="561" totalsRowDxfId="560">
      <calculatedColumnFormula>SUMIFS(ExpApr[金额],ExpApr[分类],投资收益表[[#This Row],[投资分类]])</calculatedColumnFormula>
    </tableColumn>
    <tableColumn id="6" xr3:uid="{121AB3BE-14EA-47B4-BA01-7D0320D53706}" name="5月" totalsRowFunction="sum" dataDxfId="559" totalsRowDxfId="558">
      <calculatedColumnFormula>SUMIFS(ExpMay[金额],ExpMay[分类],投资收益表[[#This Row],[投资分类]])</calculatedColumnFormula>
    </tableColumn>
    <tableColumn id="7" xr3:uid="{AF79C64D-3AF5-431B-9796-8A5EA6E1363C}" name="6月" totalsRowFunction="sum" dataDxfId="557" totalsRowDxfId="556">
      <calculatedColumnFormula>SUMIFS(ExpJun[金额],ExpJun[分类],投资收益表[[#This Row],[投资分类]])</calculatedColumnFormula>
    </tableColumn>
    <tableColumn id="8" xr3:uid="{B1686869-D72B-493B-828E-37C69D4E0AA5}" name="7月" totalsRowFunction="sum" dataDxfId="555" totalsRowDxfId="554">
      <calculatedColumnFormula>SUMIFS(ExpJul[金额],ExpJul[分类],投资收益表[[#This Row],[投资分类]])</calculatedColumnFormula>
    </tableColumn>
    <tableColumn id="9" xr3:uid="{87149661-A8F4-4E52-808A-61302A1BE0C0}" name="8月" totalsRowFunction="sum" dataDxfId="553" totalsRowDxfId="552">
      <calculatedColumnFormula>SUMIFS(ExpAug[金额],ExpAug[分类],投资收益表[[#This Row],[投资分类]])</calculatedColumnFormula>
    </tableColumn>
    <tableColumn id="10" xr3:uid="{7134D552-4CA2-454D-B5D5-32119E675C43}" name="9月" totalsRowFunction="sum" dataDxfId="551" totalsRowDxfId="550">
      <calculatedColumnFormula>SUMIFS(ExpSep[金额],ExpSep[分类],投资收益表[[#This Row],[投资分类]])</calculatedColumnFormula>
    </tableColumn>
    <tableColumn id="11" xr3:uid="{5FF9704B-F5A1-4173-9CF1-6C1220C34B76}" name="10月" totalsRowFunction="sum" dataDxfId="549" totalsRowDxfId="548">
      <calculatedColumnFormula>SUMIFS(ExpOct[金额],ExpOct[分类],投资收益表[[#This Row],[投资分类]])</calculatedColumnFormula>
    </tableColumn>
    <tableColumn id="12" xr3:uid="{BE5FF356-1AC6-4632-98E6-849524DE642F}" name="11月" totalsRowFunction="sum" dataDxfId="547" totalsRowDxfId="546">
      <calculatedColumnFormula>SUMIFS(ExpNov[金额],ExpNov[分类],投资收益表[[#This Row],[投资分类]])</calculatedColumnFormula>
    </tableColumn>
    <tableColumn id="13" xr3:uid="{E38ED0F9-776B-4FC1-B49D-C0782927BE50}" name="12月" totalsRowFunction="sum" dataDxfId="545" totalsRowDxfId="544">
      <calculatedColumnFormula>SUMIFS(ExpDec[金额],ExpDec[分类],投资收益表[[#This Row],[投资分类]])</calculatedColumnFormula>
    </tableColumn>
    <tableColumn id="20" xr3:uid="{49C111D3-30CF-4792-8B1C-22943C9E387F}" name="全年统计" totalsRowFunction="custom" dataDxfId="543" totalsRowDxfId="542">
      <calculatedColumnFormula array="1">IFERROR(
    INDEX(B5:M5, MONTH(TODAY())) -
    INDEX(B5:M5, IF(MONTH(TODAY())=1, 12, MONTH(TODAY())-1)),
    "")</calculatedColumnFormula>
      <totalsRowFormula>N5+N6+N8+N9</totalsRowFormula>
    </tableColumn>
    <tableColumn id="14" xr3:uid="{013AADE4-1CC5-4440-A832-3B2EDF2FF571}" name="环比增长" totalsRowFunction="custom" dataDxfId="541" totalsRowDxfId="540" dataCellStyle="百分比">
      <calculatedColumnFormula array="1">IFERROR(
    IF(
        INDEX(B5:M5, MONTH(TODAY())) = 0,
        INDEX(B5:M5, IF(MONTH(TODAY())=1, 12, MONTH(TODAY())-1)) -
        INDEX(B5:M5, IF(MONTH(TODAY())=1, 11, MONTH(TODAY())-2)),
        INDEX(B5:M5, MONTH(TODAY())) -
        INDEX(B5:M5, IF(MONTH(TODAY())=1, 12, MONTH(TODAY())-1))
    ),
    ""
)/
IFERROR(
    IF(
        INDEX(B5:M5, MONTH(TODAY())) = 0,
        INDEX(B5:M5,MONTH(TODAY())-1),
        INDEX(B5:M5,MONTH(TODAY()))    ),
    ""
)</calculatedColumnFormula>
      <totalsRowFormula array="1">IFERROR(
    IF(
        INDEX(B12:M12, MONTH(TODAY())) = 0,
        INDEX(B12:M12, IF(MONTH(TODAY())=1, 12, MONTH(TODAY())-1)) -
        INDEX(B12:M12, IF(MONTH(TODAY())=1, 11, MONTH(TODAY())-2)),
        INDEX(B12:M12, MONTH(TODAY())) -
        INDEX(B12:M12, IF(MONTH(TODAY())=1, 12, MONTH(TODAY())-1))
    ),
    ""
)/
IFERROR(
    IF(
        INDEX(B12:M12, MONTH(TODAY())) = 0,
        INDEX(B12:M12,MONTH(TODAY())-1),
        INDEX(B12:M12,MONTH(TODAY()))    ),
    ""
)</totalsRowFormula>
    </tableColumn>
    <tableColumn id="15" xr3:uid="{B05EBCD8-7099-4B3A-92D2-804E5FAA3FA5}" name="趋势" totalsRowFunction="custom" dataDxfId="539" totalsRowDxfId="538">
      <totalsRowFormula array="1">IFERROR(
    _xlfn.LET(
        _xlpm.data, B12:M12,
        _xlpm.nonZeroData, IF(_xlpm.data&gt;0, _xlpm.data, ""),
        _xlpm.minVal, MIN(_xlpm.nonZeroData),
        _xlpm.maxVal, MAX(_xlpm.data),
        _xlpm.startPos, MATCH(_xlpm.minVal, _xlpm.nonZeroData, 0),
        _xlpm.endPos, MATCH(_xlpm.maxVal, _xlpm.data, 0),
        _xlpm.startDate, INDEX(B2:M2, _xlpm.startPos),
        _xlpm.endDate, INDEX(B2:M2, _xlpm.endPos),
        IF(_xlpm.endDate &lt; _xlpm.startDate, "",
            _xlfn.LET(
                _xlpm.months, DATEDIF(_xlpm.startDate, _xlpm.endDate, "m") +1,
                (_xlpm.maxVal / _xlpm.minVal) ^ (12/_xlpm.months) -1
            )
        )
    ),
    ""
)</totalsRowFormula>
    </tableColumn>
    <tableColumn id="16" xr3:uid="{F9691137-3A21-4E7E-9F7E-20A6BE918568}" name="占比" totalsRowFunction="sum" dataDxfId="537" totalsRowDxfId="536" dataCellStyle="百分比">
      <calculatedColumnFormula>INDEX(投资收益表[#This Row], MATCH(TEXT(TODAY(),"m") &amp; "月", 投资收益表[#Headers], 0))/INDEX(投资收益表[#Totals], MATCH(TEXT(TODAY(),"m") &amp; "月", 投资收益表[#Headers], 0))</calculatedColumnFormula>
    </tableColumn>
    <tableColumn id="17" xr3:uid="{33B84F25-ED07-49FF-9220-5E9C7117A08B}" name="意见" dataDxfId="535" totalsRowDxfId="534">
      <calculatedColumnFormula>IF(AND(投资收益表[[#This Row],[占比]]&gt;=投资收益表[[#This Row],[判定下限]], 投资收益表[[#This Row],[占比]]&lt;=投资收益表[[#This Row],[判定上限]]),"合理","不合理")</calculatedColumnFormula>
    </tableColumn>
    <tableColumn id="18" xr3:uid="{BC537DC1-B480-4B06-905D-3A97D940BE8E}" name="判定下限" totalsRowFunction="sum" dataDxfId="533" totalsRowDxfId="532"/>
    <tableColumn id="19" xr3:uid="{87BC803E-D1B8-445B-AE10-D62A7B598877}" name="判定上限" totalsRowFunction="sum" dataDxfId="531" totalsRowDxfId="530"/>
  </tableColumns>
  <tableStyleInfo name="摘要表" showFirstColumn="0" showLastColumn="1" showRowStripes="0" showColumnStripes="1"/>
  <extLst>
    <ext xmlns:x14="http://schemas.microsoft.com/office/spreadsheetml/2009/9/main" uri="{504A1905-F514-4f6f-8877-14C23A59335A}">
      <x14:table altTextSummary="显示按月份类别（从 1 月开始）汇总的每月支出的表。表格格式设置为与位于正上方的图表竖直对齐，使表中每个月与图中分组的每个月对齐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CA2978-0443-49A0-930F-F4BD85B16005}" name="基金" displayName="基金" ref="B15:K23" totalsRowCount="1" headerRowDxfId="529" totalsRowDxfId="526" headerRowBorderDxfId="528" tableBorderDxfId="527" totalsRowBorderDxfId="525">
  <autoFilter ref="B15:K22" xr:uid="{9DCA2978-0443-49A0-930F-F4BD85B16005}">
    <filterColumn colId="0">
      <colorFilter dxfId="524"/>
    </filterColumn>
  </autoFilter>
  <sortState xmlns:xlrd2="http://schemas.microsoft.com/office/spreadsheetml/2017/richdata2" ref="B16:K22">
    <sortCondition sortBy="cellColor" ref="B15:B22" dxfId="523"/>
  </sortState>
  <tableColumns count="10">
    <tableColumn id="1" xr3:uid="{B31D3907-106E-4269-9363-D649A0023D60}" name="基金简称" totalsRowLabel="汇总" dataDxfId="522" totalsRowDxfId="521">
      <calculatedColumnFormula>[1]!EM_F_INFO_NAME(C16)</calculatedColumnFormula>
    </tableColumn>
    <tableColumn id="2" xr3:uid="{13D930B9-4F18-4E6F-8611-995E5683914F}" name="基金代码" totalsRowFunction="custom" dataDxfId="520" totalsRowDxfId="519">
      <totalsRowFormula>TODAY()</totalsRowFormula>
    </tableColumn>
    <tableColumn id="3" xr3:uid="{9E33D0F3-44CF-425F-A840-65DB2D51ABB3}" name="持有起始日期" dataDxfId="518" totalsRowDxfId="517"/>
    <tableColumn id="4" xr3:uid="{FC27B826-116C-4BF4-93BC-2B5B133D3542}" name="持有天数" dataDxfId="516" totalsRowDxfId="515">
      <calculatedColumnFormula>([1]!EM_DATECOUNT(D16,$C$23,"CNSESH"))</calculatedColumnFormula>
    </tableColumn>
    <tableColumn id="5" xr3:uid="{01B9890A-A55D-4B3C-A58A-09A511FDC95A}" name="%基金N日净值增长率" dataDxfId="514" totalsRowDxfId="513">
      <calculatedColumnFormula>[1]!EM_F_NQ_NAVCHANGE(基金[[#This Row],[基金代码]],-E16)</calculatedColumnFormula>
    </tableColumn>
    <tableColumn id="13" xr3:uid="{C0DFDE9F-EC27-4CC3-98E4-20EFCB2CB428}" name="账面价值" totalsRowFunction="sum" dataDxfId="512" totalsRowDxfId="511"/>
    <tableColumn id="6" xr3:uid="{9ADF28DA-A7E6-44A3-AD5B-00904E7AAC9B}" name="每2天定投" totalsRowFunction="sum" dataDxfId="510" totalsRowDxfId="509"/>
    <tableColumn id="7" xr3:uid="{59B3485D-0CF9-4673-8DBD-5D084EC3ADD3}" name="每月平均" totalsRowFunction="sum" dataDxfId="508" totalsRowDxfId="507" dataCellStyle="百分比">
      <calculatedColumnFormula>基金[[#This Row],[每2天定投]]*11</calculatedColumnFormula>
    </tableColumn>
    <tableColumn id="8" xr3:uid="{E0612976-EC80-4281-A5F3-17BA7836BBC9}" name="当前比例" totalsRowFunction="sum" dataDxfId="506" totalsRowDxfId="505" dataCellStyle="百分比">
      <calculatedColumnFormula>基金[[#This Row],[每2天定投]]/基金[[#Totals],[每2天定投]]</calculatedColumnFormula>
    </tableColumn>
    <tableColumn id="9" xr3:uid="{A7D4F8A1-4BE4-4347-A91B-26BAC41BC2A8}" name="推荐比例" totalsRowFunction="sum" dataDxfId="504" totalsRowDxfId="503"/>
  </tableColumns>
  <tableStyleInfo name="摘要表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A6ED967-6D3E-41A8-8F08-D28A0A969E5D}" name="表11" displayName="表11" ref="W6:Z8" totalsRowShown="0">
  <autoFilter ref="W6:Z8" xr:uid="{FA6ED967-6D3E-41A8-8F08-D28A0A969E5D}"/>
  <tableColumns count="4">
    <tableColumn id="1" xr3:uid="{6FD1F5FD-7721-4353-9C7C-8226C34FF25A}" name="每月消费"/>
    <tableColumn id="2" xr3:uid="{3C3230C9-EA22-4457-9391-E04B18DA6C5B}" name="每年消费">
      <calculatedColumnFormula>表11[[#This Row],[每月消费]]*12</calculatedColumnFormula>
    </tableColumn>
    <tableColumn id="3" xr3:uid="{0A0B6CCA-909C-4F5D-9B8C-CE8793BAC140}" name="被动收入 年化收益率"/>
    <tableColumn id="4" xr3:uid="{3B797F97-A924-4497-9C18-CCCFF538DEC7}" name="被动资产" dataDxfId="502">
      <calculatedColumnFormula>表11[[#This Row],[每年消费]]/表11[[#This Row],[被动收入 年化收益率]]</calculatedColumnFormula>
    </tableColumn>
  </tableColumns>
  <tableStyleInfo name="摘要表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7E3ED45-2DDB-41C7-8295-B03C640B5899}" name="美股投资表" displayName="美股投资表" ref="B25:K31" totalsRowCount="1" headerRowDxfId="501" dataDxfId="500" totalsRowDxfId="499">
  <autoFilter ref="B25:K30" xr:uid="{27E3ED45-2DDB-41C7-8295-B03C640B5899}">
    <filterColumn colId="0">
      <filters>
        <filter val="Schwab Str:US Div Eq ETF (ARCX:SCHD)"/>
        <filter val="SPDR S&amp;P 500 (ARCX:SPY)"/>
        <filter val="Vanguard Hi Dv Yld;ETF (ARCX:VYM)"/>
      </filters>
    </filterColumn>
  </autoFilter>
  <tableColumns count="10">
    <tableColumn id="1" xr3:uid="{32381136-8017-4C0E-95EC-E96BEFF8EEE2}" name="公司" totalsRowLabel="汇总" dataDxfId="498" totalsRowDxfId="497"/>
    <tableColumn id="2" xr3:uid="{35B2ABFB-6C9E-45FB-84E3-27D8F6EEEE05}" name="代码" dataDxfId="496" totalsRowDxfId="495" dataCellStyle="40% - 着色 3"/>
    <tableColumn id="3" xr3:uid="{017FD585-F8DC-45AF-BCDF-A3B3E0E2BFA9}" name="股份" dataDxfId="494" totalsRowDxfId="493"/>
    <tableColumn id="10" xr3:uid="{BECF6E4A-D7CF-4BEB-A432-E7D9D98880BE}" name="成本价" dataDxfId="492" totalsRowDxfId="491" dataCellStyle="千位分隔"/>
    <tableColumn id="4" xr3:uid="{0A2DED9E-7C68-454A-988B-E351E15DD06F}" name="当前价格" dataDxfId="490" totalsRowDxfId="489">
      <calculatedColumnFormula>_FV(美股投资表[[#This Row],[公司]],"Price")</calculatedColumnFormula>
    </tableColumn>
    <tableColumn id="6" xr3:uid="{EF708440-AF8A-4BED-874A-22D27B66A5A8}" name="变化（百分比）" totalsRowFunction="custom" dataDxfId="488" totalsRowDxfId="487">
      <calculatedColumnFormula>美股投资表[[#This Row],[账面价值]]/美股投资表[[#This Row],[持仓成本]]-1</calculatedColumnFormula>
      <totalsRowFormula>美股投资表[[#Totals],[账面价值]]/美股投资表[[#Totals],[持仓成本]]-1</totalsRowFormula>
    </tableColumn>
    <tableColumn id="9" xr3:uid="{2D3BB00F-CD7D-4C2D-817C-BB84E2267823}" name="持仓成本" totalsRowFunction="sum" dataDxfId="486" totalsRowDxfId="485" dataCellStyle="百分比">
      <calculatedColumnFormula>美股投资表[[#This Row],[股份]]*美股投资表[[#This Row],[成本价]]</calculatedColumnFormula>
    </tableColumn>
    <tableColumn id="7" xr3:uid="{F3BF21A3-E984-41E1-A563-6DC751396511}" name="账面价值" totalsRowFunction="sum" dataDxfId="484" totalsRowDxfId="483">
      <calculatedColumnFormula>美股投资表[[#This Row],[股份]]*美股投资表[[#This Row],[当前价格]]</calculatedColumnFormula>
    </tableColumn>
    <tableColumn id="11" xr3:uid="{C970A7B0-171B-4D78-A427-D3C4AE4C7FDF}" name="当前比例" dataDxfId="482" totalsRowDxfId="481" dataCellStyle="百分比">
      <calculatedColumnFormula>IFERROR(I26/SUBTOTAL(109,美股投资表[账面价值]),"")</calculatedColumnFormula>
    </tableColumn>
    <tableColumn id="12" xr3:uid="{05BA095D-891C-4545-90EC-443B10346ED9}" name="推荐比例" dataDxfId="480" totalsRowDxfId="479"/>
  </tableColumns>
  <tableStyleInfo name="表样式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2DDF820-DF2A-4496-8A75-2844F8D80241}" name="A股投资表" displayName="A股投资表" ref="B34:K39" totalsRowCount="1" headerRowDxfId="478" dataDxfId="477" totalsRowDxfId="476">
  <autoFilter ref="B34:K38" xr:uid="{D2DDF820-DF2A-4496-8A75-2844F8D80241}"/>
  <tableColumns count="10">
    <tableColumn id="1" xr3:uid="{3AECB8BE-9D22-485E-B6A6-F2F67AD4B498}" name="公司" totalsRowLabel="汇总" dataDxfId="475" totalsRowDxfId="474">
      <calculatedColumnFormula>[1]!EM_S_INFO_COMPNAME(C35)</calculatedColumnFormula>
    </tableColumn>
    <tableColumn id="2" xr3:uid="{27902610-1D18-40D7-8861-F74E7CD6E40F}" name="证券代码" dataDxfId="473" totalsRowDxfId="472"/>
    <tableColumn id="3" xr3:uid="{0A794439-EF81-458B-99DC-72EFE1AE7E32}" name="股份" dataDxfId="471" totalsRowDxfId="470"/>
    <tableColumn id="10" xr3:uid="{A8D7204B-A08A-4588-A9AF-40D363E00B77}" name="成本价" dataDxfId="469" totalsRowDxfId="468" dataCellStyle="千位分隔"/>
    <tableColumn id="4" xr3:uid="{2598251D-0674-4A9D-A9F3-CCD1A47F7E72}" name="当前价格" dataDxfId="467" totalsRowDxfId="466">
      <calculatedColumnFormula>[1]!EM_S_DQ_CLOSE(C35,"N","1")</calculatedColumnFormula>
    </tableColumn>
    <tableColumn id="6" xr3:uid="{83F075A2-C658-413F-AF55-1A2424E0A2B5}" name="变化（百分比）" totalsRowFunction="custom" dataDxfId="465" totalsRowDxfId="464">
      <calculatedColumnFormula>A股投资表[[#This Row],[账面价值]]/A股投资表[[#This Row],[持仓成本]]-1</calculatedColumnFormula>
      <totalsRowFormula>A股投资表[[#Totals],[账面价值]]/A股投资表[[#Totals],[持仓成本]]-1</totalsRowFormula>
    </tableColumn>
    <tableColumn id="9" xr3:uid="{0A2B4F2E-6CB2-4D53-B081-52C2A4022847}" name="持仓成本" totalsRowFunction="sum" dataDxfId="463" totalsRowDxfId="462" dataCellStyle="百分比">
      <calculatedColumnFormula>A股投资表[[#This Row],[股份]]*A股投资表[[#This Row],[成本价]]</calculatedColumnFormula>
    </tableColumn>
    <tableColumn id="7" xr3:uid="{F3E481E2-53D2-4168-A830-DE57D20ACB95}" name="账面价值" totalsRowFunction="sum" dataDxfId="461" totalsRowDxfId="460">
      <calculatedColumnFormula>A股投资表[[#This Row],[股份]]*A股投资表[[#This Row],[当前价格]]</calculatedColumnFormula>
    </tableColumn>
    <tableColumn id="11" xr3:uid="{9860B2F6-9A8D-4D78-A5BE-515D67A209BD}" name="买入理由" totalsRowDxfId="459" dataCellStyle="百分比"/>
    <tableColumn id="12" xr3:uid="{D19968EA-8C95-4208-8F92-42E22123D205}" name="推荐比例" dataDxfId="458" totalsRowDxfId="457"/>
  </tableColumns>
  <tableStyleInfo name="表样式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9B42ACA-5500-4B7B-93BA-3E3EA779D0E6}" name="表32" displayName="表32" ref="B42:H54" totalsRowShown="0" headerRowDxfId="456" dataDxfId="455">
  <autoFilter ref="B42:H54" xr:uid="{79B42ACA-5500-4B7B-93BA-3E3EA779D0E6}"/>
  <tableColumns count="7">
    <tableColumn id="1" xr3:uid="{85EC92CA-F466-4DBC-AF44-6128C12D89B4}" name="列1" dataDxfId="454"/>
    <tableColumn id="2" xr3:uid="{7F2D5D31-2AA8-44AD-A0E6-A94A61F6B315}" name="指标名称" dataDxfId="453"/>
    <tableColumn id="3" xr3:uid="{16A6188E-F7E9-49BB-AC18-1A60A1562F57}" name="严苛指标" dataDxfId="452"/>
    <tableColumn id="4" xr3:uid="{4266E47F-9420-41F4-9139-75146C1A54EE}" name="列4" dataDxfId="451"/>
    <tableColumn id="5" xr3:uid="{2E6126E8-C06B-4B22-8449-CA8366C70F85}" name="放宽指标" dataDxfId="450"/>
    <tableColumn id="6" xr3:uid="{94C8BEC5-6051-46B4-9C9E-0F57D70FDD13}" name="列6" dataDxfId="449"/>
    <tableColumn id="7" xr3:uid="{08740609-9717-460C-BDD1-897A4161D9E0}" name="列7" dataDxfId="448"/>
  </tableColumns>
  <tableStyleInfo name="表样式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Jan" displayName="ExpJan" ref="A2:H12" totalsRowCount="1" headerRowDxfId="447" dataDxfId="446" totalsRowDxfId="445">
  <autoFilter ref="A2:H11" xr:uid="{00000000-0009-0000-0100-000002000000}"/>
  <tableColumns count="8">
    <tableColumn id="1" xr3:uid="{00000000-0010-0000-0100-000001000000}" name="日期" totalsRowLabel="汇总" dataDxfId="444" totalsRowDxfId="443"/>
    <tableColumn id="2" xr3:uid="{00000000-0010-0000-0100-000002000000}" name="PO#" dataDxfId="442" totalsRowDxfId="441"/>
    <tableColumn id="7" xr3:uid="{D991626D-4C5A-404D-9140-EB1C15E8D3CD}" name="汇率（特殊-CNY）" dataDxfId="440" totalsRowDxfId="439" dataCellStyle="表格详细信息"/>
    <tableColumn id="6" xr3:uid="{71341F72-20FD-4B62-B833-2A3C97175F19}" name="特殊币种" dataDxfId="438" totalsRowDxfId="437" dataCellStyle="表格详细信息"/>
    <tableColumn id="3" xr3:uid="{00000000-0010-0000-0100-000003000000}" name="金额" totalsRowFunction="sum" dataDxfId="436" totalsRowDxfId="435"/>
    <tableColumn id="4" xr3:uid="{00000000-0010-0000-0100-000004000000}" name="类别" dataDxfId="434" totalsRowDxfId="433" dataCellStyle="表格详细信息"/>
    <tableColumn id="5" xr3:uid="{00000000-0010-0000-0100-000005000000}" name="描述" dataDxfId="432" totalsRowDxfId="431"/>
    <tableColumn id="8" xr3:uid="{25E68D64-4F44-49B8-BE79-C49CDEB2B06A}" name="分类" dataDxfId="430" totalsRowDxfId="429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68CC7B1-A07E-459D-9BEE-0F863188CDFD}" name="ExpJan投资组合" displayName="ExpJan投资组合" ref="A14:H19" totalsRowCount="1" headerRowDxfId="428" totalsRowDxfId="427">
  <autoFilter ref="A14:H18" xr:uid="{668CC7B1-A07E-459D-9BEE-0F863188CDFD}"/>
  <tableColumns count="8">
    <tableColumn id="1" xr3:uid="{8CD65E48-CE52-4153-AC51-F21FC6F8C397}" name="日期" totalsRowLabel="汇总" dataDxfId="426" totalsRowDxfId="425" dataCellStyle="表格日期​​"/>
    <tableColumn id="2" xr3:uid="{F6CA110B-C13E-49E6-9B84-F651168A5077}" name="PO#" dataDxfId="424" totalsRowDxfId="423" dataCellStyle="表格详细信息"/>
    <tableColumn id="6" xr3:uid="{BD8C6BAA-27F4-4657-9228-F1B5779865B8}" name="汇率（特殊-CNY）" dataDxfId="422" totalsRowDxfId="421" dataCellStyle="表格详细信息"/>
    <tableColumn id="7" xr3:uid="{79D72C61-48FF-43C9-9254-37BDBC3F14C3}" name="特殊币种" dataDxfId="420" totalsRowDxfId="419" dataCellStyle="表格详细信息"/>
    <tableColumn id="3" xr3:uid="{77F1A67E-8F86-4CF1-BE89-72F8947CC817}" name="金额" totalsRowFunction="sum" dataDxfId="418" totalsRowDxfId="417" dataCellStyle="表格编号"/>
    <tableColumn id="4" xr3:uid="{B4BD3FDC-43CE-488A-9C0B-8210D64C9BF5}" name="类别" dataDxfId="416" totalsRowDxfId="415" dataCellStyle="表格详细信息"/>
    <tableColumn id="5" xr3:uid="{39BCADCF-B0F0-426E-892F-2FC856C89E65}" name="描述" dataDxfId="414" totalsRowDxfId="413" dataCellStyle="表格详细信息"/>
    <tableColumn id="8" xr3:uid="{873A31DE-A20C-45DA-BE81-ADC6B844638F}" name="分类" dataDxfId="412" totalsRowDxfId="411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Feb" displayName="ExpFeb" ref="A2:H12" totalsRowCount="1" headerRowDxfId="410" dataDxfId="409" totalsRowDxfId="408">
  <autoFilter ref="A2:H11" xr:uid="{00000000-0009-0000-0100-000003000000}"/>
  <tableColumns count="8">
    <tableColumn id="1" xr3:uid="{00000000-0010-0000-0200-000001000000}" name="日期" totalsRowLabel="汇总" dataDxfId="407" totalsRowDxfId="406"/>
    <tableColumn id="2" xr3:uid="{00000000-0010-0000-0200-000002000000}" name="PO#" dataDxfId="405" totalsRowDxfId="404"/>
    <tableColumn id="7" xr3:uid="{E9A13ADA-2B3D-468A-955E-F5A0DD74E8DC}" name="汇率（特殊-CNY）" dataDxfId="403" totalsRowDxfId="402" dataCellStyle="表格详细信息"/>
    <tableColumn id="6" xr3:uid="{47A199E4-F549-430A-8F4B-2A39DE122CE3}" name="特殊币种" dataDxfId="401" totalsRowDxfId="400" dataCellStyle="表格详细信息"/>
    <tableColumn id="3" xr3:uid="{00000000-0010-0000-0200-000003000000}" name="金额" totalsRowFunction="sum" dataDxfId="399" totalsRowDxfId="398"/>
    <tableColumn id="4" xr3:uid="{00000000-0010-0000-0200-000004000000}" name="类别" dataDxfId="397" totalsRowDxfId="396"/>
    <tableColumn id="5" xr3:uid="{00000000-0010-0000-0200-000005000000}" name="描述" dataDxfId="395" totalsRowDxfId="394"/>
    <tableColumn id="8" xr3:uid="{22697510-2D7D-4AB1-9076-EF793B0A0710}" name="分类" dataDxfId="393" totalsRowDxfId="392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D44D0C8-2BEB-4DE5-A1F6-7D433CDC0A29}" name="ExpFeb投资组合" displayName="ExpFeb投资组合" ref="A14:H19" totalsRowCount="1" headerRowDxfId="391" totalsRowDxfId="390">
  <autoFilter ref="A14:H18" xr:uid="{FD44D0C8-2BEB-4DE5-A1F6-7D433CDC0A29}"/>
  <tableColumns count="8">
    <tableColumn id="1" xr3:uid="{AE5FE24F-4A1C-4136-8B7B-D74FAF48109A}" name="日期" totalsRowLabel="汇总" dataDxfId="389" totalsRowDxfId="388" dataCellStyle="表格日期​​"/>
    <tableColumn id="2" xr3:uid="{08DFBA3F-95C8-415C-A678-878E2442241E}" name="PO#" dataDxfId="387" totalsRowDxfId="386" dataCellStyle="表格详细信息"/>
    <tableColumn id="6" xr3:uid="{A89EF1DC-6D89-43E7-A8FA-69033CE6B2F2}" name="汇率（特殊-CNY）" dataDxfId="385" totalsRowDxfId="384" dataCellStyle="表格详细信息"/>
    <tableColumn id="7" xr3:uid="{0D108FD4-F912-4C9B-B41B-C4E39A769A98}" name="特殊币种" dataDxfId="383" totalsRowDxfId="382" dataCellStyle="表格详细信息"/>
    <tableColumn id="3" xr3:uid="{33959AB7-82C7-4312-8E48-A8B011CE48D0}" name="金额" totalsRowFunction="sum" dataDxfId="381" totalsRowDxfId="380" dataCellStyle="表格编号"/>
    <tableColumn id="4" xr3:uid="{09C64F79-97CD-4CE3-B40C-92855AE1CAE4}" name="类别" dataDxfId="379" totalsRowDxfId="378" dataCellStyle="表格详细信息"/>
    <tableColumn id="5" xr3:uid="{E662EB4F-2E9C-49F9-B463-3BA56957811E}" name="描述" dataDxfId="377" totalsRowDxfId="376" dataCellStyle="表格详细信息"/>
    <tableColumn id="8" xr3:uid="{27C1746A-59B2-4310-8A00-52799244CCCD}" name="分类" dataDxfId="375" totalsRowDxfId="374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pMar" displayName="ExpMar" ref="A2:H12" totalsRowCount="1" headerRowDxfId="373" dataDxfId="372" totalsRowDxfId="371">
  <autoFilter ref="A2:H11" xr:uid="{00000000-0009-0000-0100-000004000000}"/>
  <tableColumns count="8">
    <tableColumn id="1" xr3:uid="{00000000-0010-0000-0300-000001000000}" name="日期" totalsRowLabel="汇总" dataDxfId="370" totalsRowDxfId="369"/>
    <tableColumn id="2" xr3:uid="{00000000-0010-0000-0300-000002000000}" name="PO#" dataDxfId="368" totalsRowDxfId="367"/>
    <tableColumn id="7" xr3:uid="{11FCED8A-A6C7-4D05-8B9A-CA4FB7C41518}" name="汇率（特殊-CNY）" dataDxfId="366" totalsRowDxfId="365" dataCellStyle="表格详细信息"/>
    <tableColumn id="6" xr3:uid="{68ECB663-0E53-4882-B9DE-FD545BBF5629}" name="特殊币种" dataDxfId="364" totalsRowDxfId="363" dataCellStyle="表格详细信息"/>
    <tableColumn id="3" xr3:uid="{00000000-0010-0000-0300-000003000000}" name="金额" totalsRowFunction="sum" dataDxfId="362" totalsRowDxfId="361"/>
    <tableColumn id="4" xr3:uid="{00000000-0010-0000-0300-000004000000}" name="类别" dataDxfId="360" totalsRowDxfId="359"/>
    <tableColumn id="5" xr3:uid="{00000000-0010-0000-0300-000005000000}" name="描述" dataDxfId="358" totalsRowDxfId="357"/>
    <tableColumn id="8" xr3:uid="{E99AE170-65CC-4DC3-896F-CA29C5FC3D35}" name="分类" dataDxfId="356" totalsRowDxfId="355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9165D65-967B-418C-B977-173E59C224E4}" name="ExpMar投资组合" displayName="ExpMar投资组合" ref="A14:H19" totalsRowCount="1" headerRowDxfId="354" totalsRowDxfId="353">
  <autoFilter ref="A14:H18" xr:uid="{A9165D65-967B-418C-B977-173E59C224E4}"/>
  <tableColumns count="8">
    <tableColumn id="1" xr3:uid="{CEFE9792-9A13-4457-A5C3-8BFCB44A8858}" name="日期" totalsRowLabel="汇总" dataDxfId="352" totalsRowDxfId="351" dataCellStyle="表格日期​​"/>
    <tableColumn id="2" xr3:uid="{99E4F2EC-0CEA-4AD5-B91F-7E19B67D2D10}" name="PO#" dataDxfId="350" totalsRowDxfId="349" dataCellStyle="表格详细信息"/>
    <tableColumn id="6" xr3:uid="{A4C3ED30-516D-4F52-95B6-8B76493C5487}" name="汇率（特殊-CNY）" dataDxfId="348" totalsRowDxfId="347" dataCellStyle="表格详细信息"/>
    <tableColumn id="7" xr3:uid="{D18E8F6F-AFE7-4E81-80FD-25219558CEF1}" name="特殊币种" dataDxfId="346" totalsRowDxfId="345" dataCellStyle="表格详细信息"/>
    <tableColumn id="3" xr3:uid="{55413793-EAEB-4EE2-A74D-9A5F9EAA0863}" name="金额" totalsRowFunction="sum" dataDxfId="344" totalsRowDxfId="343" dataCellStyle="表格编号"/>
    <tableColumn id="4" xr3:uid="{E2E358C0-99B0-441C-B925-C3A5FAC0BBE5}" name="类别" dataDxfId="342" totalsRowDxfId="341" dataCellStyle="表格详细信息"/>
    <tableColumn id="5" xr3:uid="{DBBBC325-960C-4FF1-8A64-EC540BB1F7FA}" name="描述" dataDxfId="340" totalsRowDxfId="339" dataCellStyle="表格详细信息"/>
    <tableColumn id="8" xr3:uid="{61446B2C-BB74-4E3B-82C4-4B7C8472AFEB}" name="分类" dataDxfId="338" totalsRowDxfId="337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pApr" displayName="ExpApr" ref="A2:H12" totalsRowCount="1" headerRowDxfId="336" dataDxfId="335" totalsRowDxfId="334">
  <autoFilter ref="A2:H11" xr:uid="{00000000-0009-0000-0100-000005000000}"/>
  <tableColumns count="8">
    <tableColumn id="1" xr3:uid="{00000000-0010-0000-0400-000001000000}" name="日期" totalsRowLabel="汇总" dataDxfId="333" totalsRowDxfId="332"/>
    <tableColumn id="2" xr3:uid="{00000000-0010-0000-0400-000002000000}" name="PO#" dataDxfId="331" totalsRowDxfId="330"/>
    <tableColumn id="7" xr3:uid="{9CF221F5-FDE7-4997-9EF9-20E1E9D08286}" name="汇率（特殊-CNY）" dataDxfId="329" totalsRowDxfId="328" dataCellStyle="表格详细信息"/>
    <tableColumn id="6" xr3:uid="{1EE45E7B-BE8D-423C-8674-4DF7A3F57CCE}" name="特殊币种" dataDxfId="327" totalsRowDxfId="326" dataCellStyle="表格详细信息"/>
    <tableColumn id="3" xr3:uid="{00000000-0010-0000-0400-000003000000}" name="金额" totalsRowFunction="sum" dataDxfId="325" totalsRowDxfId="324"/>
    <tableColumn id="4" xr3:uid="{00000000-0010-0000-0400-000004000000}" name="类别" dataDxfId="323" totalsRowDxfId="322" dataCellStyle="表格详细信息"/>
    <tableColumn id="5" xr3:uid="{00000000-0010-0000-0400-000005000000}" name="描述" dataDxfId="321" totalsRowDxfId="320"/>
    <tableColumn id="8" xr3:uid="{2EFA3851-492B-47D9-9A59-70DEB4203534}" name="分类" dataDxfId="319" totalsRowDxfId="318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DAB8E73-730C-4A07-B869-64EBD409AB36}" name="ExpApr投资组合" displayName="ExpApr投资组合" ref="A14:H19" totalsRowCount="1" headerRowDxfId="317" totalsRowDxfId="316">
  <autoFilter ref="A14:H18" xr:uid="{7DAB8E73-730C-4A07-B869-64EBD409AB36}"/>
  <tableColumns count="8">
    <tableColumn id="1" xr3:uid="{490FC6DC-D6C0-46DE-9CD6-3DDDCBF78055}" name="日期" totalsRowLabel="汇总" dataDxfId="315" totalsRowDxfId="314" dataCellStyle="表格日期​​"/>
    <tableColumn id="2" xr3:uid="{58BE8E0E-99C5-4C31-80F1-065B5060A765}" name="PO#" dataDxfId="313" totalsRowDxfId="312" dataCellStyle="表格详细信息"/>
    <tableColumn id="6" xr3:uid="{5EF7F16C-BB7B-40A6-BC34-F82B9FDB34B2}" name="汇率（特殊-CNY）" dataDxfId="311" totalsRowDxfId="310" dataCellStyle="表格详细信息"/>
    <tableColumn id="7" xr3:uid="{587C645C-6A93-47F3-8010-9473E9F83A5C}" name="特殊币种" dataDxfId="309" totalsRowDxfId="308" dataCellStyle="表格详细信息"/>
    <tableColumn id="3" xr3:uid="{0DFB7F0D-A188-4F98-B02E-69667D5D21D5}" name="金额" totalsRowFunction="sum" dataDxfId="307" totalsRowDxfId="306" dataCellStyle="表格编号"/>
    <tableColumn id="4" xr3:uid="{3DF6350F-95E7-41DB-9EAD-3869B0B32426}" name="类别" dataDxfId="305" totalsRowDxfId="304" dataCellStyle="表格详细信息"/>
    <tableColumn id="5" xr3:uid="{BF1F0DAD-C00D-43DF-9EF2-39EB4AB4C0AC}" name="描述" dataDxfId="303" totalsRowDxfId="302" dataCellStyle="表格详细信息"/>
    <tableColumn id="8" xr3:uid="{F4E376DA-8682-4BC0-A566-14552952B74A}" name="分类" dataDxfId="301" totalsRowDxfId="300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xpMay" displayName="ExpMay" ref="A2:H12" totalsRowCount="1" headerRowDxfId="299" dataDxfId="298" totalsRowDxfId="297">
  <autoFilter ref="A2:H11" xr:uid="{00000000-0009-0000-0100-000006000000}"/>
  <tableColumns count="8">
    <tableColumn id="1" xr3:uid="{00000000-0010-0000-0500-000001000000}" name="日期" totalsRowLabel="汇总" dataDxfId="296" totalsRowDxfId="295"/>
    <tableColumn id="2" xr3:uid="{00000000-0010-0000-0500-000002000000}" name="PO#" dataDxfId="294" totalsRowDxfId="293"/>
    <tableColumn id="7" xr3:uid="{C90ACF9C-C10D-45B1-90B5-C8F1AC140F69}" name="汇率（特殊-CNY）" dataDxfId="292" totalsRowDxfId="291" dataCellStyle="表格详细信息"/>
    <tableColumn id="6" xr3:uid="{226A9B85-176C-428E-AA29-A90581E9D251}" name="特殊币种" dataDxfId="290" totalsRowDxfId="289" dataCellStyle="表格详细信息"/>
    <tableColumn id="3" xr3:uid="{00000000-0010-0000-0500-000003000000}" name="金额" totalsRowFunction="sum" dataDxfId="288" totalsRowDxfId="287"/>
    <tableColumn id="4" xr3:uid="{00000000-0010-0000-0500-000004000000}" name="类别" dataDxfId="286" totalsRowDxfId="285" dataCellStyle="表格详细信息"/>
    <tableColumn id="5" xr3:uid="{00000000-0010-0000-0500-000005000000}" name="描述" dataDxfId="284" totalsRowDxfId="283"/>
    <tableColumn id="8" xr3:uid="{503323A1-4886-418A-B70E-77A6BB9FC130}" name="分类" dataDxfId="282" totalsRowDxfId="281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C8238F9-C68A-433D-AE53-59F7A50F48CD}" name="ExpMay投资组合" displayName="ExpMay投资组合" ref="A14:H19" totalsRowCount="1" headerRowDxfId="280" totalsRowDxfId="279">
  <autoFilter ref="A14:H18" xr:uid="{BC8238F9-C68A-433D-AE53-59F7A50F48CD}"/>
  <tableColumns count="8">
    <tableColumn id="1" xr3:uid="{0C342B0A-91A3-424C-BA46-4557950CB479}" name="日期" totalsRowLabel="汇总" dataDxfId="278" totalsRowDxfId="277" dataCellStyle="表格日期​​"/>
    <tableColumn id="2" xr3:uid="{26038246-CC12-451B-8099-AD58CEF398EA}" name="PO#" dataDxfId="276" totalsRowDxfId="275" dataCellStyle="表格详细信息"/>
    <tableColumn id="6" xr3:uid="{7765C67C-8977-4DA5-8F9A-F109F26A4EE2}" name="汇率（特殊-CNY）" dataDxfId="274" totalsRowDxfId="273" dataCellStyle="表格详细信息"/>
    <tableColumn id="7" xr3:uid="{35D64531-D56B-423E-87B3-65B7D8886938}" name="特殊币种" dataDxfId="272" totalsRowDxfId="271" dataCellStyle="表格详细信息"/>
    <tableColumn id="3" xr3:uid="{F29BA7D2-9403-4DEE-89B8-4BCF1363E448}" name="金额" totalsRowFunction="sum" dataDxfId="270" totalsRowDxfId="269" dataCellStyle="表格编号"/>
    <tableColumn id="4" xr3:uid="{25B5F4DD-EA08-467D-940A-7E750E6F5364}" name="类别" dataDxfId="268" totalsRowDxfId="267" dataCellStyle="表格详细信息"/>
    <tableColumn id="5" xr3:uid="{5933B441-901C-4CBA-8F54-782A761A7677}" name="描述" dataDxfId="266" totalsRowDxfId="265" dataCellStyle="表格详细信息"/>
    <tableColumn id="8" xr3:uid="{11154840-1993-4B4E-B450-A11791DB471E}" name="分类" dataDxfId="264" totalsRowDxfId="263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xpJun" displayName="ExpJun" ref="A2:H12" totalsRowCount="1" headerRowDxfId="262" dataDxfId="261" totalsRowDxfId="260">
  <autoFilter ref="A2:H11" xr:uid="{00000000-0009-0000-0100-000007000000}"/>
  <tableColumns count="8">
    <tableColumn id="1" xr3:uid="{00000000-0010-0000-0600-000001000000}" name="日期" totalsRowLabel="汇总" dataDxfId="259" totalsRowDxfId="258"/>
    <tableColumn id="2" xr3:uid="{00000000-0010-0000-0600-000002000000}" name="PO#" dataDxfId="257" totalsRowDxfId="256"/>
    <tableColumn id="7" xr3:uid="{029F1BB1-097A-421B-922B-93D7C80B974E}" name="汇率（特殊-CNY）" dataDxfId="255" totalsRowDxfId="254" dataCellStyle="表格详细信息"/>
    <tableColumn id="6" xr3:uid="{97B7100C-9786-4A95-BFC6-428D85986052}" name="特殊币种" dataDxfId="253" totalsRowDxfId="252" dataCellStyle="表格详细信息"/>
    <tableColumn id="3" xr3:uid="{00000000-0010-0000-0600-000003000000}" name="金额" totalsRowFunction="sum" dataDxfId="251" totalsRowDxfId="250"/>
    <tableColumn id="4" xr3:uid="{00000000-0010-0000-0600-000004000000}" name="类别" dataDxfId="249" totalsRowDxfId="248" dataCellStyle="表格详细信息"/>
    <tableColumn id="5" xr3:uid="{00000000-0010-0000-0600-000005000000}" name="描述" dataDxfId="247" totalsRowDxfId="246"/>
    <tableColumn id="8" xr3:uid="{3D29D72F-1F7E-4180-B6EC-FF014CB25A67}" name="分类" dataDxfId="245" totalsRowDxfId="244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4A0AEE5-BCFC-4DC7-BD8A-FC27A9D1B8DD}" name="ExpJun投资组合" displayName="ExpJun投资组合" ref="A14:H19" totalsRowCount="1" headerRowDxfId="243" totalsRowDxfId="242">
  <autoFilter ref="A14:H18" xr:uid="{D4A0AEE5-BCFC-4DC7-BD8A-FC27A9D1B8DD}"/>
  <tableColumns count="8">
    <tableColumn id="1" xr3:uid="{11BFD066-DBF6-41ED-9FC8-B9BDAF322A20}" name="日期" totalsRowLabel="汇总" dataDxfId="241" totalsRowDxfId="240" dataCellStyle="表格日期​​"/>
    <tableColumn id="2" xr3:uid="{930FC4E3-1B21-443B-910A-48EBBC856041}" name="PO#" dataDxfId="239" totalsRowDxfId="238" dataCellStyle="表格详细信息"/>
    <tableColumn id="6" xr3:uid="{8B13AA44-C8A3-4EFD-A71E-EDB151520C73}" name="汇率（特殊-CNY）" dataDxfId="237" totalsRowDxfId="236" dataCellStyle="表格详细信息"/>
    <tableColumn id="7" xr3:uid="{E34F0FD8-3AAF-4B80-BED7-5411FA30C866}" name="特殊币种" dataDxfId="235" totalsRowDxfId="234" dataCellStyle="表格详细信息"/>
    <tableColumn id="3" xr3:uid="{08E798CA-2E72-42F9-9625-FBF824C9C13F}" name="金额" totalsRowFunction="sum" dataDxfId="233" totalsRowDxfId="232" dataCellStyle="表格编号"/>
    <tableColumn id="4" xr3:uid="{54F598E1-E24D-48D6-8A09-E4D6B2835462}" name="类别" dataDxfId="231" totalsRowDxfId="230" dataCellStyle="表格详细信息"/>
    <tableColumn id="5" xr3:uid="{57B50329-4EB2-4AD0-A136-9D1C75A5D93E}" name="描述" dataDxfId="229" totalsRowDxfId="228" dataCellStyle="表格详细信息"/>
    <tableColumn id="8" xr3:uid="{B3C2EB5E-5FB7-47E7-9DE7-3FC8356F06A4}" name="分类" dataDxfId="227" totalsRowDxfId="226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xpJul" displayName="ExpJul" ref="A2:H12" totalsRowCount="1" headerRowDxfId="225" dataDxfId="224" totalsRowDxfId="223">
  <autoFilter ref="A2:H11" xr:uid="{00000000-0009-0000-0100-000008000000}"/>
  <tableColumns count="8">
    <tableColumn id="1" xr3:uid="{00000000-0010-0000-0700-000001000000}" name="日期" totalsRowLabel="汇总" dataDxfId="222" totalsRowDxfId="221"/>
    <tableColumn id="2" xr3:uid="{00000000-0010-0000-0700-000002000000}" name="PO#" dataDxfId="220" totalsRowDxfId="219"/>
    <tableColumn id="7" xr3:uid="{6B40EEAD-C047-4E1E-A8DD-A152718ABE89}" name="汇率（特殊-CNY）" dataDxfId="218" totalsRowDxfId="217" dataCellStyle="表格详细信息"/>
    <tableColumn id="6" xr3:uid="{F8E72801-A0CF-42E5-9BCB-44C50D02D8CF}" name="特殊币种" dataDxfId="216" totalsRowDxfId="215" dataCellStyle="表格详细信息"/>
    <tableColumn id="3" xr3:uid="{00000000-0010-0000-0700-000003000000}" name="金额" totalsRowFunction="sum" dataDxfId="214" totalsRowDxfId="213"/>
    <tableColumn id="4" xr3:uid="{00000000-0010-0000-0700-000004000000}" name="类别" dataDxfId="212" totalsRowDxfId="211"/>
    <tableColumn id="5" xr3:uid="{00000000-0010-0000-0700-000005000000}" name="描述" dataDxfId="210" totalsRowDxfId="209"/>
    <tableColumn id="8" xr3:uid="{DCE0A6B9-8868-4B99-8294-5273D1421267}" name="分类" dataDxfId="208" totalsRowDxfId="207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E8F6992-2E84-4BBF-88E0-2DCCAA589C4C}" name="ExpJul投资组合" displayName="ExpJul投资组合" ref="A14:H19" totalsRowCount="1" headerRowDxfId="206" totalsRowDxfId="205">
  <autoFilter ref="A14:H18" xr:uid="{5E8F6992-2E84-4BBF-88E0-2DCCAA589C4C}"/>
  <tableColumns count="8">
    <tableColumn id="1" xr3:uid="{D79B2403-9929-4691-BD09-F6211B0A0F7C}" name="日期" totalsRowLabel="汇总" dataDxfId="204" totalsRowDxfId="203" dataCellStyle="表格日期​​"/>
    <tableColumn id="2" xr3:uid="{17768D6C-E01C-461B-A2DB-3B22B62CC6AA}" name="PO#" dataDxfId="202" totalsRowDxfId="201" dataCellStyle="表格详细信息"/>
    <tableColumn id="6" xr3:uid="{4118395B-A7B8-4F0B-9396-2C55A0EDE605}" name="汇率（特殊-CNY）" dataDxfId="200" totalsRowDxfId="199" dataCellStyle="表格详细信息"/>
    <tableColumn id="7" xr3:uid="{182D8544-AE5A-4BBD-A1C3-DC5570762C1A}" name="特殊币种" dataDxfId="198" totalsRowDxfId="197" dataCellStyle="表格详细信息"/>
    <tableColumn id="3" xr3:uid="{7C1F8EE6-4420-4038-9462-007FAB3D354F}" name="金额" totalsRowFunction="sum" dataDxfId="196" totalsRowDxfId="195" dataCellStyle="表格编号"/>
    <tableColumn id="4" xr3:uid="{00014DCA-455D-4A35-A4B4-F64038081795}" name="类别" dataDxfId="194" totalsRowDxfId="193" dataCellStyle="表格详细信息"/>
    <tableColumn id="5" xr3:uid="{475A5E04-7C7E-486A-8C28-C2A1E0F69130}" name="描述" dataDxfId="192" totalsRowDxfId="191" dataCellStyle="表格详细信息"/>
    <tableColumn id="8" xr3:uid="{5503E42B-9A74-4C37-B43A-40D5BF963206}" name="分类" dataDxfId="190" totalsRowDxfId="189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xpAug" displayName="ExpAug" ref="A2:H12" totalsRowCount="1" headerRowDxfId="188" dataDxfId="187" totalsRowDxfId="186">
  <autoFilter ref="A2:H11" xr:uid="{00000000-0009-0000-0100-000009000000}"/>
  <tableColumns count="8">
    <tableColumn id="1" xr3:uid="{00000000-0010-0000-0800-000001000000}" name="日期" totalsRowLabel="汇总" dataDxfId="185" totalsRowDxfId="184"/>
    <tableColumn id="2" xr3:uid="{00000000-0010-0000-0800-000002000000}" name="PO#" dataDxfId="183" totalsRowDxfId="182"/>
    <tableColumn id="6" xr3:uid="{DA07C534-E5FE-4D1E-8672-333589102B78}" name="汇率（特殊-CNY）" dataDxfId="181" totalsRowDxfId="180" dataCellStyle="表格详细信息"/>
    <tableColumn id="7" xr3:uid="{D3EDB0EC-31B0-4CB3-A4E9-0401DA35D18D}" name="特殊币种" dataDxfId="179" totalsRowDxfId="178" dataCellStyle="表格详细信息"/>
    <tableColumn id="3" xr3:uid="{00000000-0010-0000-0800-000003000000}" name="金额" totalsRowFunction="sum" dataDxfId="177" totalsRowDxfId="176"/>
    <tableColumn id="4" xr3:uid="{00000000-0010-0000-0800-000004000000}" name="类别" dataDxfId="175" totalsRowDxfId="174"/>
    <tableColumn id="5" xr3:uid="{00000000-0010-0000-0800-000005000000}" name="描述" dataDxfId="173" totalsRowDxfId="172"/>
    <tableColumn id="9" xr3:uid="{882F4D44-8DBE-4907-A95E-721E3652E8C7}" name="分类" dataDxfId="171" totalsRowDxfId="170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D23D5C6-7399-45E3-AF77-F11925438FD3}" name="ExpAug投资组合" displayName="ExpAug投资组合" ref="A14:H19" totalsRowCount="1" headerRowDxfId="169" totalsRowDxfId="168">
  <autoFilter ref="A14:H18" xr:uid="{ED23D5C6-7399-45E3-AF77-F11925438FD3}"/>
  <tableColumns count="8">
    <tableColumn id="1" xr3:uid="{FBBED195-A01B-42EF-AD8B-ED2F304CC1F3}" name="日期" totalsRowLabel="汇总" dataDxfId="167" totalsRowDxfId="166" dataCellStyle="表格日期​​"/>
    <tableColumn id="2" xr3:uid="{B885B371-D0E3-4DC5-ACC7-B5E09F7DEE5C}" name="PO#" dataDxfId="165" totalsRowDxfId="164" dataCellStyle="表格详细信息"/>
    <tableColumn id="6" xr3:uid="{7485CE1A-83DF-4D59-BF5F-631B8D4FFBE5}" name="汇率（特殊-CNY）" dataDxfId="163" totalsRowDxfId="162" dataCellStyle="表格详细信息"/>
    <tableColumn id="7" xr3:uid="{CB8D77B1-241E-4227-84C3-4A3C8D759860}" name="特殊币种" dataDxfId="161" totalsRowDxfId="160" dataCellStyle="表格详细信息"/>
    <tableColumn id="3" xr3:uid="{900920B5-44ED-4DBA-9A72-6321D446F19F}" name="金额" totalsRowFunction="sum" dataDxfId="159" totalsRowDxfId="158" dataCellStyle="表格编号"/>
    <tableColumn id="4" xr3:uid="{36E573D4-B203-43B4-82DA-3F7ABD476BC7}" name="类别" dataDxfId="157" totalsRowDxfId="156" dataCellStyle="表格详细信息"/>
    <tableColumn id="5" xr3:uid="{EC48CD0C-7DDF-417A-8E75-AF79E42BF053}" name="描述" dataDxfId="155" totalsRowDxfId="154" dataCellStyle="表格详细信息"/>
    <tableColumn id="8" xr3:uid="{CA6E2B19-9D63-44AC-B0D8-3FAB5A67A26A}" name="分类" dataDxfId="153" totalsRowDxfId="152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DDD5DD2-10C9-40CA-BC7B-4379108A7184}" name="ExpSep" displayName="ExpSep" ref="A2:H16" totalsRowCount="1" headerRowDxfId="151" totalsRowDxfId="150">
  <autoFilter ref="A2:H15" xr:uid="{00000000-0009-0000-0100-000009000000}"/>
  <tableColumns count="8">
    <tableColumn id="1" xr3:uid="{275B9132-A8BC-4D72-B801-185DC50265B6}" name="日期" totalsRowLabel="汇总" dataDxfId="149" totalsRowDxfId="148" dataCellStyle="表格日期​​"/>
    <tableColumn id="2" xr3:uid="{5DA8189F-4F7A-4760-8B52-2E11BEA18D67}" name="PO#" dataDxfId="147" totalsRowDxfId="146" dataCellStyle="表格详细信息"/>
    <tableColumn id="6" xr3:uid="{F86C5032-0543-4ECA-A70D-4AB548C56416}" name="汇率（特殊-CNY）" dataDxfId="145" totalsRowDxfId="144" dataCellStyle="表格详细信息"/>
    <tableColumn id="7" xr3:uid="{8AF0F76E-1B22-4ED4-A447-126D2DC40366}" name="特殊币种" dataDxfId="143" totalsRowDxfId="142" dataCellStyle="表格详细信息"/>
    <tableColumn id="3" xr3:uid="{13759450-26F9-4649-B0D8-F62F70DCAD03}" name="金额" totalsRowFunction="sum" dataDxfId="141" totalsRowDxfId="140" dataCellStyle="表格编号"/>
    <tableColumn id="4" xr3:uid="{E12A95E6-B3A2-45F2-B88E-039CD38045CC}" name="类别" dataDxfId="139" totalsRowDxfId="138" dataCellStyle="表格详细信息"/>
    <tableColumn id="5" xr3:uid="{AC88B148-D656-41DD-BF24-EC10BED699FF}" name="描述" dataDxfId="137" totalsRowDxfId="136" dataCellStyle="表格详细信息"/>
    <tableColumn id="8" xr3:uid="{30E26894-03D6-4A7F-8426-E2FABB7FB78D}" name="分类" dataDxfId="135" totalsRowDxfId="134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7A9E54F-A95C-430C-8EE2-720D3C16F57E}" name="ExpSep投资组合" displayName="ExpSep投资组合" ref="A18:H23" totalsRowCount="1" headerRowDxfId="133" totalsRowDxfId="132">
  <autoFilter ref="A18:H22" xr:uid="{A7A9E54F-A95C-430C-8EE2-720D3C16F57E}"/>
  <tableColumns count="8">
    <tableColumn id="1" xr3:uid="{69FA142E-FC63-4F89-A089-D2F2253F7F2A}" name="日期" totalsRowLabel="汇总" dataDxfId="131" totalsRowDxfId="130" dataCellStyle="表格日期​​"/>
    <tableColumn id="2" xr3:uid="{D7FCAD9E-0EA7-4CAD-85DD-F9868278C613}" name="PO#" dataDxfId="129" totalsRowDxfId="128" dataCellStyle="表格详细信息"/>
    <tableColumn id="6" xr3:uid="{413DB1C5-3997-448D-854B-B7033F7935A1}" name="汇率（特殊-CNY）" dataDxfId="127" totalsRowDxfId="126" dataCellStyle="表格详细信息"/>
    <tableColumn id="7" xr3:uid="{E237F503-E33F-4C09-9344-8E12E8BD6EFE}" name="特殊币种" dataDxfId="125" totalsRowDxfId="124" dataCellStyle="表格详细信息"/>
    <tableColumn id="3" xr3:uid="{07EDBECA-E1A5-46AF-B31A-5F8130924A12}" name="金额" totalsRowFunction="sum" dataDxfId="123" totalsRowDxfId="122" dataCellStyle="表格编号"/>
    <tableColumn id="4" xr3:uid="{6EFB8FC1-2A05-4386-A1C4-DF4754C7F10D}" name="类别" dataDxfId="121" totalsRowDxfId="120" dataCellStyle="表格详细信息"/>
    <tableColumn id="5" xr3:uid="{0DB35364-8F2C-47FA-ACE6-F5F73464EB1E}" name="描述" dataDxfId="119" totalsRowDxfId="118" dataCellStyle="表格详细信息"/>
    <tableColumn id="8" xr3:uid="{6FB39A2E-135F-42B0-BBFD-3E0805ECAB1C}" name="分类" dataDxfId="117" totalsRowDxfId="116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BF127-F0F6-4D86-A323-02769D99563D}" name="ExpOct" displayName="ExpOct" ref="A2:H12" totalsRowCount="1" headerRowDxfId="115" totalsRowDxfId="114">
  <autoFilter ref="A2:H11" xr:uid="{00000000-0009-0000-0100-000009000000}"/>
  <tableColumns count="8">
    <tableColumn id="1" xr3:uid="{03F56F85-96E1-4547-B7F6-D09960146FAB}" name="日期" totalsRowLabel="汇总" dataDxfId="113" totalsRowDxfId="112" dataCellStyle="表格日期​​"/>
    <tableColumn id="2" xr3:uid="{691F48AA-B288-4DA2-B66E-85FFED806946}" name="PO#" dataDxfId="111" totalsRowDxfId="110" dataCellStyle="表格详细信息"/>
    <tableColumn id="6" xr3:uid="{E56A133A-973F-4764-AEE0-FD5E3CA242B1}" name="汇率（特殊-CNY）" dataDxfId="109" totalsRowDxfId="108" dataCellStyle="表格详细信息"/>
    <tableColumn id="7" xr3:uid="{B43B4E88-071F-4535-B83C-3117DE329800}" name="特殊币种" dataDxfId="107" totalsRowDxfId="106" dataCellStyle="表格详细信息"/>
    <tableColumn id="3" xr3:uid="{1A0A857A-2CBE-4C15-A76D-44C200D010BF}" name="金额" totalsRowFunction="sum" dataDxfId="105" totalsRowDxfId="104" dataCellStyle="表格编号"/>
    <tableColumn id="4" xr3:uid="{17E70AA5-B210-4E39-AE81-11CE7B562E69}" name="类别" dataDxfId="103" totalsRowDxfId="102" dataCellStyle="表格详细信息"/>
    <tableColumn id="5" xr3:uid="{85D44925-7DD3-4365-83D5-7293AB748980}" name="描述" dataDxfId="101" totalsRowDxfId="100" dataCellStyle="表格详细信息"/>
    <tableColumn id="8" xr3:uid="{B8429BC2-1875-4C73-AD07-C18A34CC7051}" name="分类" dataDxfId="99" totalsRowDxfId="98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B996BAA-341A-4F64-B336-8404E1B380F6}" name="ExpOct投资组合" displayName="ExpOct投资组合" ref="A14:H19" totalsRowCount="1" headerRowDxfId="97" totalsRowDxfId="96">
  <autoFilter ref="A14:H18" xr:uid="{7B996BAA-341A-4F64-B336-8404E1B380F6}"/>
  <tableColumns count="8">
    <tableColumn id="1" xr3:uid="{3C9BF855-1385-45EB-B801-F20F26D3A2FD}" name="日期" totalsRowLabel="汇总" dataDxfId="95" totalsRowDxfId="94" dataCellStyle="表格日期​​"/>
    <tableColumn id="2" xr3:uid="{A4D5B876-9229-4A29-90EB-50777DDA6DBD}" name="PO#" dataDxfId="93" totalsRowDxfId="92" dataCellStyle="表格详细信息"/>
    <tableColumn id="6" xr3:uid="{8007C51E-96C9-4959-9657-9BC5624BFF4E}" name="汇率（特殊-CNY）" dataDxfId="91" totalsRowDxfId="90" dataCellStyle="表格详细信息"/>
    <tableColumn id="7" xr3:uid="{547AFDED-F33B-40D0-A2C1-1DCA1D82BF24}" name="特殊币种" dataDxfId="89" totalsRowDxfId="88" dataCellStyle="表格详细信息"/>
    <tableColumn id="3" xr3:uid="{E4F47D9D-EDA0-4435-8113-D4D8167E5064}" name="金额" totalsRowFunction="sum" dataDxfId="87" totalsRowDxfId="86" dataCellStyle="表格编号"/>
    <tableColumn id="4" xr3:uid="{886286F9-5637-4F18-8EAE-006B281FF4EC}" name="类别" dataDxfId="85" totalsRowDxfId="84" dataCellStyle="表格详细信息"/>
    <tableColumn id="5" xr3:uid="{B4F66DDE-2E7A-4225-A9BD-EE6D8AE32427}" name="描述" dataDxfId="83" totalsRowDxfId="82" dataCellStyle="表格详细信息"/>
    <tableColumn id="8" xr3:uid="{3616D663-D30B-4843-8FDA-B5960C3B11D4}" name="分类" dataDxfId="81" totalsRowDxfId="80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ExpNov" displayName="ExpNov" ref="A2:H12" totalsRowCount="1" headerRowDxfId="79" dataDxfId="78" totalsRowDxfId="77">
  <autoFilter ref="A2:H11" xr:uid="{00000000-0009-0000-0100-00000C000000}"/>
  <tableColumns count="8">
    <tableColumn id="1" xr3:uid="{00000000-0010-0000-0B00-000001000000}" name="日期" totalsRowLabel="汇总" dataDxfId="76" totalsRowDxfId="75"/>
    <tableColumn id="2" xr3:uid="{00000000-0010-0000-0B00-000002000000}" name="PO#" dataDxfId="74" totalsRowDxfId="73"/>
    <tableColumn id="6" xr3:uid="{DDBD39EC-B29F-482A-8666-F40488190CBF}" name="汇率（特殊-CNY）" dataDxfId="72" totalsRowDxfId="71" dataCellStyle="表格详细信息"/>
    <tableColumn id="8" xr3:uid="{8EF2E5C0-444C-4086-A2E0-BC1A6C01DD1B}" name="特殊币种" dataDxfId="70" totalsRowDxfId="69" dataCellStyle="表格详细信息"/>
    <tableColumn id="3" xr3:uid="{00000000-0010-0000-0B00-000003000000}" name="金额" totalsRowFunction="sum" dataDxfId="68" totalsRowDxfId="67"/>
    <tableColumn id="4" xr3:uid="{00000000-0010-0000-0B00-000004000000}" name="类别" dataDxfId="66" totalsRowDxfId="65"/>
    <tableColumn id="5" xr3:uid="{00000000-0010-0000-0B00-000005000000}" name="描述" dataDxfId="64" totalsRowDxfId="63"/>
    <tableColumn id="7" xr3:uid="{1F07C96E-AB04-4316-83B0-DCDDCAEDF84D}" name="分类" dataDxfId="62" totalsRowDxfId="61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3506776-E7E8-46DB-9C5C-3B03BFF0EC03}" name="ExpNov投资组合" displayName="ExpNov投资组合" ref="A14:H19" totalsRowCount="1" headerRowDxfId="60" totalsRowDxfId="59">
  <autoFilter ref="A14:H18" xr:uid="{C3506776-E7E8-46DB-9C5C-3B03BFF0EC03}"/>
  <tableColumns count="8">
    <tableColumn id="1" xr3:uid="{85FC5292-0C7C-40A2-9650-72E256A71FF7}" name="日期" totalsRowLabel="汇总" dataDxfId="58" totalsRowDxfId="57" dataCellStyle="表格日期​​"/>
    <tableColumn id="2" xr3:uid="{C132709B-0C2C-458C-93CB-38A66275AE72}" name="PO#" dataDxfId="56" totalsRowDxfId="55" dataCellStyle="表格详细信息"/>
    <tableColumn id="6" xr3:uid="{8D6072DC-138D-4E50-AA0A-E950F794E2C7}" name="汇率（特殊-CNY）" dataDxfId="54" totalsRowDxfId="53" dataCellStyle="表格详细信息"/>
    <tableColumn id="7" xr3:uid="{F1837058-C3D2-4502-8FE9-F279B8BFD709}" name="特殊币种" dataDxfId="52" totalsRowDxfId="51" dataCellStyle="表格详细信息"/>
    <tableColumn id="3" xr3:uid="{1368BEA8-1FA4-4DB2-8363-4CA97FB7FA86}" name="金额" totalsRowFunction="sum" dataDxfId="50" totalsRowDxfId="49" dataCellStyle="表格编号"/>
    <tableColumn id="4" xr3:uid="{EA2269DB-2638-4EC8-9C2C-A39DE373A3A8}" name="类别" dataDxfId="48" totalsRowDxfId="47" dataCellStyle="表格详细信息"/>
    <tableColumn id="5" xr3:uid="{BC649455-5306-4458-A82D-7F5EAA7F41E5}" name="描述" dataDxfId="46" totalsRowDxfId="45" dataCellStyle="表格详细信息"/>
    <tableColumn id="8" xr3:uid="{3D1B6140-AA19-41C3-BA6B-1A12A07FFB7B}" name="分类" dataDxfId="44" totalsRowDxfId="43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ExpDec" displayName="ExpDec" ref="A2:H12" totalsRowCount="1" headerRowDxfId="42" dataDxfId="41" totalsRowDxfId="40">
  <autoFilter ref="A2:H11" xr:uid="{00000000-0009-0000-0100-00000D000000}"/>
  <tableColumns count="8">
    <tableColumn id="1" xr3:uid="{00000000-0010-0000-0C00-000001000000}" name="日期" totalsRowLabel="汇总" dataDxfId="39" totalsRowDxfId="38"/>
    <tableColumn id="2" xr3:uid="{00000000-0010-0000-0C00-000002000000}" name="PO#" dataDxfId="37" totalsRowDxfId="36"/>
    <tableColumn id="7" xr3:uid="{99E153F1-2050-49D5-B249-F0F143AAB5D8}" name="汇率（特殊-CNY）" dataDxfId="35" totalsRowDxfId="34" dataCellStyle="表格详细信息"/>
    <tableColumn id="6" xr3:uid="{C2B3AD83-FC9F-439A-A869-1A0D16933D89}" name="特殊币种" dataDxfId="33" totalsRowDxfId="32" dataCellStyle="表格详细信息"/>
    <tableColumn id="3" xr3:uid="{00000000-0010-0000-0C00-000003000000}" name="金额" totalsRowFunction="sum" dataDxfId="31" totalsRowDxfId="30"/>
    <tableColumn id="4" xr3:uid="{00000000-0010-0000-0C00-000004000000}" name="类别" dataDxfId="29" totalsRowDxfId="28"/>
    <tableColumn id="5" xr3:uid="{00000000-0010-0000-0C00-000005000000}" name="描述" dataDxfId="27" totalsRowDxfId="26"/>
    <tableColumn id="8" xr3:uid="{54E9E65F-57DB-41FD-9999-942C1F5EFA7A}" name="分类" dataDxfId="25" totalsRowDxfId="24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5B1D5A0-5C6A-4978-8CD8-FA4D1517F663}" name="ExpDec投资组合" displayName="ExpDec投资组合" ref="A14:H19" totalsRowCount="1" headerRowDxfId="23" totalsRowDxfId="22">
  <autoFilter ref="A14:H18" xr:uid="{85B1D5A0-5C6A-4978-8CD8-FA4D1517F663}"/>
  <tableColumns count="8">
    <tableColumn id="1" xr3:uid="{700B1800-70E0-40CB-AFBB-27462730EA68}" name="日期" totalsRowLabel="汇总" dataDxfId="21" totalsRowDxfId="20" dataCellStyle="表格日期​​"/>
    <tableColumn id="2" xr3:uid="{8F9D885A-64C6-4D2C-967B-D78016F0D9A0}" name="PO#" dataDxfId="19" totalsRowDxfId="18" dataCellStyle="表格详细信息"/>
    <tableColumn id="6" xr3:uid="{CCBAF7A4-27AB-415B-BD5D-B50285ABF35B}" name="汇率（特殊-CNY）" dataDxfId="17" totalsRowDxfId="16" dataCellStyle="表格详细信息"/>
    <tableColumn id="7" xr3:uid="{0E5E51B9-9783-4937-974F-31F62EEF400F}" name="特殊币种" dataDxfId="15" totalsRowDxfId="14" dataCellStyle="表格详细信息"/>
    <tableColumn id="3" xr3:uid="{D1D32B37-463D-4824-86B9-1FA23B90213D}" name="金额" totalsRowFunction="sum" dataDxfId="13" totalsRowDxfId="12" dataCellStyle="表格编号"/>
    <tableColumn id="4" xr3:uid="{71C3A5CD-63F3-4B4E-9A46-4A563030CF4B}" name="类别" dataDxfId="11" totalsRowDxfId="10" dataCellStyle="表格详细信息"/>
    <tableColumn id="5" xr3:uid="{6C37A6A2-F5FC-468F-A516-F6E11BDE68FE}" name="描述" dataDxfId="9" totalsRowDxfId="8" dataCellStyle="表格详细信息"/>
    <tableColumn id="8" xr3:uid="{6B4914E6-E1E3-4520-A8C8-D387114A6E51}" name="分类" dataDxfId="7" totalsRowDxfId="6"/>
  </tableColumns>
  <tableStyleInfo name="摘要表" showFirstColumn="0" showLastColumn="0" showRowStripes="0" showColumnStripes="1"/>
  <extLst>
    <ext xmlns:x14="http://schemas.microsoft.com/office/spreadsheetml/2009/9/main" uri="{504A1905-F514-4f6f-8877-14C23A59335A}">
      <x14:table altTextSummary="每月支出详细信息（如日期、PO#、金额、类别和描述）的列表"/>
    </ext>
  </extLst>
</table>
</file>

<file path=xl/theme/theme1.xml><?xml version="1.0" encoding="utf-8"?>
<a:theme xmlns:a="http://schemas.openxmlformats.org/drawingml/2006/main" name="Office Theme">
  <a:themeElements>
    <a:clrScheme name="Expense Trends Budget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7B9C7"/>
      </a:accent1>
      <a:accent2>
        <a:srgbClr val="FFCC4F"/>
      </a:accent2>
      <a:accent3>
        <a:srgbClr val="9AB294"/>
      </a:accent3>
      <a:accent4>
        <a:srgbClr val="F15926"/>
      </a:accent4>
      <a:accent5>
        <a:srgbClr val="906083"/>
      </a:accent5>
      <a:accent6>
        <a:srgbClr val="E89C2B"/>
      </a:accent6>
      <a:hlink>
        <a:srgbClr val="FFFFFF"/>
      </a:hlink>
      <a:folHlink>
        <a:srgbClr val="FFFFFF"/>
      </a:folHlink>
    </a:clrScheme>
    <a:fontScheme name="Expense Trends Budget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8" dT="2026-01-15T11:38:20.69" personId="{687D5274-1347-4846-A532-2C753820E0A9}" id="{EAC4CC77-4A05-41A2-9DF8-282E7A984662}">
    <text>推荐更换成QQQ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DE875-EDAE-4EC8-B171-A248AACA8265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5Qa5wOTFre0Q1L0TDIRcs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6" Type="http://schemas.openxmlformats.org/officeDocument/2006/relationships/comments" Target="../comments1.xml" /><Relationship Id="rId5" Type="http://schemas.openxmlformats.org/officeDocument/2006/relationships/table" Target="../tables/table2.xml" /><Relationship Id="rId4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 /><Relationship Id="rId3" Type="http://schemas.openxmlformats.org/officeDocument/2006/relationships/vmlDrawing" Target="../drawings/vmlDrawing2.vml" /><Relationship Id="rId7" Type="http://schemas.openxmlformats.org/officeDocument/2006/relationships/table" Target="../tables/table6.x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Relationship Id="rId6" Type="http://schemas.openxmlformats.org/officeDocument/2006/relationships/table" Target="../tables/table5.xml" /><Relationship Id="rId11" Type="http://schemas.microsoft.com/office/2017/10/relationships/threadedComment" Target="../threadedComments/threadedComment1.xml" /><Relationship Id="rId5" Type="http://schemas.openxmlformats.org/officeDocument/2006/relationships/table" Target="../tables/table4.xml" /><Relationship Id="rId10" Type="http://schemas.openxmlformats.org/officeDocument/2006/relationships/comments" Target="../comments2.xml" /><Relationship Id="rId4" Type="http://schemas.openxmlformats.org/officeDocument/2006/relationships/table" Target="../tables/table3.xml" /><Relationship Id="rId9" Type="http://schemas.openxmlformats.org/officeDocument/2006/relationships/table" Target="../tables/table8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 /><Relationship Id="rId2" Type="http://schemas.openxmlformats.org/officeDocument/2006/relationships/table" Target="../tables/table9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 /><Relationship Id="rId2" Type="http://schemas.openxmlformats.org/officeDocument/2006/relationships/table" Target="../tables/table11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 /><Relationship Id="rId2" Type="http://schemas.openxmlformats.org/officeDocument/2006/relationships/table" Target="../tables/table13.xml" /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 /><Relationship Id="rId2" Type="http://schemas.openxmlformats.org/officeDocument/2006/relationships/table" Target="../tables/table15.xml" /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 /><Relationship Id="rId2" Type="http://schemas.openxmlformats.org/officeDocument/2006/relationships/table" Target="../tables/table17.xml" /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 /><Relationship Id="rId2" Type="http://schemas.openxmlformats.org/officeDocument/2006/relationships/table" Target="../tables/table19.x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 /><Relationship Id="rId2" Type="http://schemas.openxmlformats.org/officeDocument/2006/relationships/table" Target="../tables/table21.xml" /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 /><Relationship Id="rId7" Type="http://schemas.openxmlformats.org/officeDocument/2006/relationships/comments" Target="../comments3.xml" /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10.bin" /><Relationship Id="rId6" Type="http://schemas.openxmlformats.org/officeDocument/2006/relationships/table" Target="../tables/table24.xml" /><Relationship Id="rId5" Type="http://schemas.openxmlformats.org/officeDocument/2006/relationships/table" Target="../tables/table23.xml" /><Relationship Id="rId4" Type="http://schemas.openxmlformats.org/officeDocument/2006/relationships/ctrlProp" Target="../ctrlProps/ctrlProp1.xml" 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 /><Relationship Id="rId7" Type="http://schemas.openxmlformats.org/officeDocument/2006/relationships/comments" Target="../comments4.xml" /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11.bin" /><Relationship Id="rId6" Type="http://schemas.openxmlformats.org/officeDocument/2006/relationships/table" Target="../tables/table26.xml" /><Relationship Id="rId5" Type="http://schemas.openxmlformats.org/officeDocument/2006/relationships/table" Target="../tables/table25.xml" /><Relationship Id="rId4" Type="http://schemas.openxmlformats.org/officeDocument/2006/relationships/ctrlProp" Target="../ctrlProps/ctrlProp2.xml" 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 /><Relationship Id="rId2" Type="http://schemas.openxmlformats.org/officeDocument/2006/relationships/vmlDrawing" Target="../drawings/vmlDrawing5.vml" /><Relationship Id="rId1" Type="http://schemas.openxmlformats.org/officeDocument/2006/relationships/printerSettings" Target="../printerSettings/printerSettings12.bin" /><Relationship Id="rId5" Type="http://schemas.openxmlformats.org/officeDocument/2006/relationships/comments" Target="../comments5.xml" /><Relationship Id="rId4" Type="http://schemas.openxmlformats.org/officeDocument/2006/relationships/table" Target="../tables/table28.xml" 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 /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13.bin" /><Relationship Id="rId6" Type="http://schemas.openxmlformats.org/officeDocument/2006/relationships/table" Target="../tables/table30.xml" /><Relationship Id="rId5" Type="http://schemas.openxmlformats.org/officeDocument/2006/relationships/table" Target="../tables/table29.xml" /><Relationship Id="rId4" Type="http://schemas.openxmlformats.org/officeDocument/2006/relationships/ctrlProp" Target="../ctrlProps/ctrlProp3.xml" 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 /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14.bin" /><Relationship Id="rId6" Type="http://schemas.openxmlformats.org/officeDocument/2006/relationships/table" Target="../tables/table32.xml" /><Relationship Id="rId5" Type="http://schemas.openxmlformats.org/officeDocument/2006/relationships/table" Target="../tables/table31.xml" /><Relationship Id="rId4" Type="http://schemas.openxmlformats.org/officeDocument/2006/relationships/ctrlProp" Target="../ctrlProps/ctrlProp4.xml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 tint="-0.499984740745262"/>
    <pageSetUpPr autoPageBreaks="0" fitToPage="1"/>
  </sheetPr>
  <dimension ref="A1:V47"/>
  <sheetViews>
    <sheetView showGridLines="0" zoomScale="70" zoomScaleNormal="70" zoomScaleSheetLayoutView="70" workbookViewId="0">
      <pane xSplit="1" topLeftCell="B1" activePane="topRight" state="frozen"/>
      <selection activeCell="A3" sqref="A3"/>
      <selection pane="topRight" activeCell="F10" sqref="F10"/>
    </sheetView>
  </sheetViews>
  <sheetFormatPr defaultColWidth="9.14453125" defaultRowHeight="30" customHeight="1" outlineLevelCol="2"/>
  <cols>
    <col min="1" max="1" width="19.1015625" style="67" customWidth="1"/>
    <col min="2" max="3" width="15.73828125" style="1" customWidth="1" outlineLevel="1"/>
    <col min="4" max="4" width="15.73828125" style="1" customWidth="1"/>
    <col min="5" max="6" width="15.73828125" style="1" customWidth="1" outlineLevel="1"/>
    <col min="7" max="7" width="15.73828125" style="1" customWidth="1"/>
    <col min="8" max="9" width="15.73828125" style="1" customWidth="1" outlineLevel="2"/>
    <col min="10" max="10" width="15.73828125" style="1" customWidth="1" outlineLevel="1"/>
    <col min="11" max="13" width="15.73828125" style="1" customWidth="1" outlineLevel="2"/>
    <col min="14" max="14" width="21.92578125" style="1" customWidth="1"/>
    <col min="15" max="15" width="18.5625" style="1" customWidth="1"/>
    <col min="16" max="16" width="20.17578125" style="1" customWidth="1"/>
    <col min="17" max="17" width="21.5234375" style="1" customWidth="1"/>
    <col min="18" max="18" width="7.93359375" style="1" customWidth="1"/>
    <col min="19" max="19" width="11.43359375" style="1" customWidth="1"/>
    <col min="20" max="20" width="11.1640625" style="1" customWidth="1"/>
    <col min="21" max="21" width="11.8359375" style="1" bestFit="1" customWidth="1"/>
    <col min="22" max="22" width="20.58203125" style="1" customWidth="1"/>
    <col min="23" max="16384" width="9.14453125" style="1"/>
  </cols>
  <sheetData>
    <row r="1" spans="1:20" ht="19.149999999999999" customHeight="1">
      <c r="A1" s="72" t="s">
        <v>60</v>
      </c>
      <c r="B1" s="165" t="s">
        <v>72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O1" s="35"/>
      <c r="P1" s="35"/>
      <c r="Q1" s="32"/>
    </row>
    <row r="2" spans="1:20" ht="17.100000000000001" customHeight="1">
      <c r="B2" s="46">
        <f>DATE(2026,1,15)</f>
        <v>46037</v>
      </c>
      <c r="C2" s="46">
        <f>DATE(2026,2,15)</f>
        <v>46068</v>
      </c>
      <c r="D2" s="46">
        <f>DATE(2026,3,15)</f>
        <v>46096</v>
      </c>
      <c r="E2" s="46">
        <f>DATE(2026,4,15)</f>
        <v>46127</v>
      </c>
      <c r="F2" s="46">
        <f>DATE(2025,5,15)</f>
        <v>45792</v>
      </c>
      <c r="G2" s="46">
        <f>DATE(2025,6,15)</f>
        <v>45823</v>
      </c>
      <c r="H2" s="46">
        <f>DATE(2025,7,15)</f>
        <v>45853</v>
      </c>
      <c r="I2" s="46">
        <f>DATE(2025,8,15)</f>
        <v>45884</v>
      </c>
      <c r="J2" s="46">
        <f>DATE(2025,9,15)</f>
        <v>45915</v>
      </c>
      <c r="K2" s="46">
        <f>DATE(2025,10,15)</f>
        <v>45945</v>
      </c>
      <c r="L2" s="46">
        <f>DATE(2025,11,14)</f>
        <v>45975</v>
      </c>
      <c r="M2" s="46">
        <f>DATE(2025,12,15)</f>
        <v>46006</v>
      </c>
      <c r="N2" s="11" t="s">
        <v>30</v>
      </c>
      <c r="Q2" s="32"/>
      <c r="R2" s="32"/>
    </row>
    <row r="3" spans="1:20" ht="244.15" customHeight="1" thickBot="1"/>
    <row r="4" spans="1:20" ht="16.899999999999999" customHeight="1">
      <c r="A4" s="68" t="s">
        <v>61</v>
      </c>
      <c r="B4" s="54" t="s">
        <v>79</v>
      </c>
      <c r="C4" s="55" t="s">
        <v>80</v>
      </c>
      <c r="D4" s="55" t="s">
        <v>81</v>
      </c>
      <c r="E4" s="55" t="s">
        <v>82</v>
      </c>
      <c r="F4" s="55" t="s">
        <v>83</v>
      </c>
      <c r="G4" s="55" t="s">
        <v>84</v>
      </c>
      <c r="H4" s="55" t="s">
        <v>73</v>
      </c>
      <c r="I4" s="55" t="s">
        <v>74</v>
      </c>
      <c r="J4" s="55" t="s">
        <v>75</v>
      </c>
      <c r="K4" s="55" t="s">
        <v>76</v>
      </c>
      <c r="L4" s="55" t="s">
        <v>77</v>
      </c>
      <c r="M4" s="55" t="s">
        <v>78</v>
      </c>
      <c r="N4" s="55" t="s">
        <v>57</v>
      </c>
      <c r="O4" s="74" t="s">
        <v>68</v>
      </c>
      <c r="P4" s="47" t="s">
        <v>7</v>
      </c>
      <c r="Q4" s="1" t="s">
        <v>49</v>
      </c>
      <c r="R4" s="1" t="s">
        <v>54</v>
      </c>
      <c r="S4" s="1" t="s">
        <v>55</v>
      </c>
      <c r="T4" s="1" t="s">
        <v>56</v>
      </c>
    </row>
    <row r="5" spans="1:20" ht="30" customHeight="1">
      <c r="A5" s="80" t="s">
        <v>38</v>
      </c>
      <c r="B5" s="60">
        <f>SUMIFS(ExpJan[金额],ExpJan[类别],资产摘要[[#This Row],[资产归属]])</f>
        <v>46095</v>
      </c>
      <c r="C5" s="60">
        <f>SUMIFS(ExpFeb[金额],ExpFeb[类别],资产摘要[[#This Row],[资产归属]])</f>
        <v>0.01</v>
      </c>
      <c r="D5" s="60">
        <f>SUMIFS(ExpMar[金额],ExpMar[类别],资产摘要[[#This Row],[资产归属]])</f>
        <v>0.01</v>
      </c>
      <c r="E5" s="61">
        <f>SUMIFS(ExpApr[金额],ExpApr[类别],资产摘要[[#This Row],[资产归属]])</f>
        <v>0</v>
      </c>
      <c r="F5" s="61">
        <f>SUMIFS(ExpMay[金额],ExpMay[类别],资产摘要[[#This Row],[资产归属]])</f>
        <v>0</v>
      </c>
      <c r="G5" s="61">
        <f>SUMIFS(ExpJun[金额],ExpJun[类别],资产摘要[[#This Row],[资产归属]])</f>
        <v>81466.09</v>
      </c>
      <c r="H5" s="61">
        <f>SUMIFS(ExpJul[金额],ExpJul[类别],资产摘要[[#This Row],[资产归属]])</f>
        <v>81503.45</v>
      </c>
      <c r="I5" s="62">
        <f>SUMIFS(ExpAug[金额],ExpAug[类别],资产摘要[[#This Row],[资产归属]])</f>
        <v>81591.429999999993</v>
      </c>
      <c r="J5" s="62">
        <f>SUMIFS(ExpSep[金额],ExpSep[类别],资产摘要[[#This Row],[资产归属]])</f>
        <v>77615.66</v>
      </c>
      <c r="K5" s="62">
        <f>SUMIFS(ExpOct[金额],ExpOct[类别],资产摘要[[#This Row],[资产归属]])</f>
        <v>73876.460000000006</v>
      </c>
      <c r="L5" s="62">
        <f>SUMIFS(ExpNov[金额],ExpNov[类别],资产摘要[[#This Row],[资产归属]])</f>
        <v>69682.36</v>
      </c>
      <c r="M5" s="62">
        <f>SUMIFS(ExpDec[金额],ExpDec[类别],资产摘要[[#This Row],[资产归属]])</f>
        <v>56685.01</v>
      </c>
      <c r="N5" s="53" cm="1">
        <f t="array" aca="1" ref="N5" ca="1">IFERROR(
    IF(
        INDEX(B5:M5, MONTH(TODAY())) = 0,
        INDEX(B5:M5, IF(MONTH(TODAY())=1, 12, MONTH(TODAY())-1)) -
        INDEX(B5:M5, IF(MONTH(TODAY())=1, 11, MONTH(TODAY())-2)),
        INDEX(B5:M5, MONTH(TODAY())) -
        INDEX(B5:M5, IF(MONTH(TODAY())=1, 12, MONTH(TODAY())-1))
    ),
    ""
)</f>
        <v>-0.01</v>
      </c>
      <c r="O5" s="48" t="e" cm="1">
        <f t="array" aca="1" ref="O5" ca="1">IFERROR(
    IF(
        INDEX(B5:M5, MONTH(TODAY())) = 0,
        INDEX(B5:M5, IF(MONTH(TODAY())=1, 12, MONTH(TODAY())-1)) -
        INDEX(B5:M5, IF(MONTH(TODAY())=1, 11, MONTH(TODAY())-2)),
        INDEX(B5:M5, MONTH(TODAY())) -
        INDEX(B5:M5, IF(MONTH(TODAY())=1, 12, MONTH(TODAY())-1))
    ),
    ""
)/
IFERROR(
    IF(
        INDEX(B5:M5, MONTH(TODAY())) = 0,
        INDEX(B5:M5,MONTH(TODAY())-1),
        INDEX(B5:M5,MONTH(TODAY()))    ),
    ""
)</f>
        <v>#DIV/0!</v>
      </c>
      <c r="P5" s="49"/>
      <c r="Q5" s="78">
        <f ca="1">INDEX(资产摘要[#This Row], MATCH(TEXT(TODAY(),"m") &amp; "月", 资产摘要[#Headers], 0))/INDEX(资产摘要[#Totals], MATCH(TEXT(TODAY(),"m") &amp; "月", 资产摘要[#Headers], 0))</f>
        <v>0</v>
      </c>
      <c r="R5" s="16" t="str">
        <f ca="1">IF(AND(资产摘要[[#This Row],[占比]]&gt;=资产摘要[[#This Row],[判定下限]], 资产摘要[[#This Row],[占比]]&lt;=资产摘要[[#This Row],[判定上限]]),"合理","不合理")</f>
        <v>合理</v>
      </c>
      <c r="S5" s="24">
        <v>0</v>
      </c>
      <c r="T5" s="24">
        <v>0.05</v>
      </c>
    </row>
    <row r="6" spans="1:20" ht="30" customHeight="1">
      <c r="A6" s="80" t="s">
        <v>34</v>
      </c>
      <c r="B6" s="60">
        <f>SUMIFS(ExpJan[金额],ExpJan[类别],资产摘要[[#This Row],[资产归属]])</f>
        <v>192935.76</v>
      </c>
      <c r="C6" s="60">
        <f>SUMIFS(ExpFeb[金额],ExpFeb[类别],资产摘要[[#This Row],[资产归属]])</f>
        <v>260187.53</v>
      </c>
      <c r="D6" s="60">
        <f>SUMIFS(ExpMar[金额],ExpMar[类别],资产摘要[[#This Row],[资产归属]])</f>
        <v>429074.87</v>
      </c>
      <c r="E6" s="61">
        <f>SUMIFS(ExpApr[金额],ExpApr[类别],资产摘要[[#This Row],[资产归属]])</f>
        <v>353671.01</v>
      </c>
      <c r="F6" s="61">
        <f>SUMIFS(ExpMay[金额],ExpMay[类别],资产摘要[[#This Row],[资产归属]])</f>
        <v>372604.37</v>
      </c>
      <c r="G6" s="61">
        <f>SUMIFS(ExpJun[金额],ExpJun[类别],资产摘要[[#This Row],[资产归属]])</f>
        <v>153397.45000000001</v>
      </c>
      <c r="H6" s="61">
        <f>SUMIFS(ExpJul[金额],ExpJul[类别],资产摘要[[#This Row],[资产归属]])</f>
        <v>162079.94</v>
      </c>
      <c r="I6" s="62">
        <f>SUMIFS(ExpAug[金额],ExpAug[类别],资产摘要[[#This Row],[资产归属]])</f>
        <v>169392.9</v>
      </c>
      <c r="J6" s="62">
        <f>SUMIFS(ExpSep[金额],ExpSep[类别],资产摘要[[#This Row],[资产归属]])</f>
        <v>172458.4</v>
      </c>
      <c r="K6" s="62">
        <f>SUMIFS(ExpOct[金额],ExpOct[类别],资产摘要[[#This Row],[资产归属]])</f>
        <v>168232.73</v>
      </c>
      <c r="L6" s="62">
        <f>SUMIFS(ExpNov[金额],ExpNov[类别],资产摘要[[#This Row],[资产归属]])</f>
        <v>173631.04</v>
      </c>
      <c r="M6" s="62">
        <f>SUMIFS(ExpDec[金额],ExpDec[类别],资产摘要[[#This Row],[资产归属]])</f>
        <v>187595.64</v>
      </c>
      <c r="N6" s="53" cm="1">
        <f t="array" aca="1" ref="N6" ca="1">IFERROR(
    IF(
        INDEX(B6:M6, MONTH(TODAY())) = 0,
        INDEX(B6:M6, IF(MONTH(TODAY())=1, 12, MONTH(TODAY())-1)) -
        INDEX(B6:M6, IF(MONTH(TODAY())=1, 11, MONTH(TODAY())-2)),
        INDEX(B6:M6, MONTH(TODAY())) -
        INDEX(B6:M6, IF(MONTH(TODAY())=1, 12, MONTH(TODAY())-1))
    ),
    ""
)</f>
        <v>18933.359999999986</v>
      </c>
      <c r="O6" s="48" cm="1">
        <f t="array" aca="1" ref="O6" ca="1">IFERROR(
    IF(
        INDEX(B6:M6, MONTH(TODAY())) = 0,
        INDEX(B6:M6, IF(MONTH(TODAY())=1, 12, MONTH(TODAY())-1)) -
        INDEX(B6:M6, IF(MONTH(TODAY())=1, 11, MONTH(TODAY())-2)),
        INDEX(B6:M6, MONTH(TODAY())) -
        INDEX(B6:M6, IF(MONTH(TODAY())=1, 12, MONTH(TODAY())-1))
    ),
    ""
)/
IFERROR(
    IF(
        INDEX(B6:M6, MONTH(TODAY())) = 0,
        INDEX(B6:M6,MONTH(TODAY())-1),
        INDEX(B6:M6,MONTH(TODAY()))    ),
    ""
)</f>
        <v>5.0813574730752584E-2</v>
      </c>
      <c r="P6" s="49"/>
      <c r="Q6" s="78">
        <f ca="1">INDEX(资产摘要[#This Row], MATCH(TEXT(TODAY(),"m") &amp; "月", 资产摘要[#Headers], 0))/INDEX(资产摘要[#Totals], MATCH(TEXT(TODAY(),"m") &amp; "月", 资产摘要[#Headers], 0))</f>
        <v>0.6524094471972619</v>
      </c>
      <c r="R6" s="16" t="str">
        <f ca="1">IF(AND(资产摘要[[#This Row],[占比]]&gt;=资产摘要[[#This Row],[判定下限]], 资产摘要[[#This Row],[占比]]&lt;=资产摘要[[#This Row],[判定上限]]),"合理","不合理")</f>
        <v>合理</v>
      </c>
      <c r="S6" s="24">
        <v>0.6</v>
      </c>
      <c r="T6" s="24">
        <v>0.8</v>
      </c>
    </row>
    <row r="7" spans="1:20" ht="30" customHeight="1">
      <c r="A7" s="80" t="s">
        <v>36</v>
      </c>
      <c r="B7" s="60">
        <f>SUMIFS(ExpJan[金额],ExpJan[类别],资产摘要[[#This Row],[资产归属]])</f>
        <v>2119.37</v>
      </c>
      <c r="C7" s="60">
        <f>SUMIFS(ExpFeb[金额],ExpFeb[类别],资产摘要[[#This Row],[资产归属]])</f>
        <v>2084.81</v>
      </c>
      <c r="D7" s="60">
        <f>SUMIFS(ExpMar[金额],ExpMar[类别],资产摘要[[#This Row],[资产归属]])</f>
        <v>1973.89</v>
      </c>
      <c r="E7" s="61">
        <f>SUMIFS(ExpApr[金额],ExpApr[类别],资产摘要[[#This Row],[资产归属]])</f>
        <v>53.08</v>
      </c>
      <c r="F7" s="61">
        <f>SUMIFS(ExpMay[金额],ExpMay[类别],资产摘要[[#This Row],[资产归属]])</f>
        <v>52.95</v>
      </c>
      <c r="G7" s="61">
        <f>SUMIFS(ExpJun[金额],ExpJun[类别],资产摘要[[#This Row],[资产归属]])</f>
        <v>10458.89</v>
      </c>
      <c r="H7" s="61">
        <f>SUMIFS(ExpJul[金额],ExpJul[类别],资产摘要[[#This Row],[资产归属]])</f>
        <v>12612.22</v>
      </c>
      <c r="I7" s="62">
        <f>SUMIFS(ExpAug[金额],ExpAug[类别],资产摘要[[#This Row],[资产归属]])</f>
        <v>10057.35</v>
      </c>
      <c r="J7" s="62">
        <f>SUMIFS(ExpSep[金额],ExpSep[类别],资产摘要[[#This Row],[资产归属]])</f>
        <v>294.56</v>
      </c>
      <c r="K7" s="62">
        <f>SUMIFS(ExpOct[金额],ExpOct[类别],资产摘要[[#This Row],[资产归属]])</f>
        <v>6.86</v>
      </c>
      <c r="L7" s="62">
        <f>SUMIFS(ExpNov[金额],ExpNov[类别],资产摘要[[#This Row],[资产归属]])</f>
        <v>0.32</v>
      </c>
      <c r="M7" s="62">
        <f>SUMIFS(ExpDec[金额],ExpDec[类别],资产摘要[[#This Row],[资产归属]])</f>
        <v>468.18</v>
      </c>
      <c r="N7" s="53" cm="1">
        <f t="array" aca="1" ref="N7" ca="1">IFERROR(
    IF(
        INDEX(B7:M7, MONTH(TODAY())) = 0,
        INDEX(B7:M7, IF(MONTH(TODAY())=1, 12, MONTH(TODAY())-1)) -
        INDEX(B7:M7, IF(MONTH(TODAY())=1, 11, MONTH(TODAY())-2)),
        INDEX(B7:M7, MONTH(TODAY())) -
        INDEX(B7:M7, IF(MONTH(TODAY())=1, 12, MONTH(TODAY())-1))
    ),
    ""
)</f>
        <v>-0.12999999999999545</v>
      </c>
      <c r="O7" s="48" cm="1">
        <f t="array" aca="1" ref="O7" ca="1">IFERROR(
    IF(
        INDEX(B7:M7, MONTH(TODAY())) = 0,
        INDEX(B7:M7, IF(MONTH(TODAY())=1, 12, MONTH(TODAY())-1)) -
        INDEX(B7:M7, IF(MONTH(TODAY())=1, 11, MONTH(TODAY())-2)),
        INDEX(B7:M7, MONTH(TODAY())) -
        INDEX(B7:M7, IF(MONTH(TODAY())=1, 12, MONTH(TODAY())-1))
    ),
    ""
)/
IFERROR(
    IF(
        INDEX(B7:M7, MONTH(TODAY())) = 0,
        INDEX(B7:M7,MONTH(TODAY())-1),
        INDEX(B7:M7,MONTH(TODAY()))    ),
    ""
)</f>
        <v>-2.4551463644947205E-3</v>
      </c>
      <c r="P7" s="49"/>
      <c r="Q7" s="78">
        <f ca="1">INDEX(资产摘要[#This Row], MATCH(TEXT(TODAY(),"m") &amp; "月", 资产摘要[#Headers], 0))/INDEX(资产摘要[#Totals], MATCH(TEXT(TODAY(),"m") &amp; "月", 资产摘要[#Headers], 0))</f>
        <v>9.2712493493017869E-5</v>
      </c>
      <c r="R7" s="16" t="str">
        <f ca="1">IF(AND(资产摘要[[#This Row],[占比]]&gt;=资产摘要[[#This Row],[判定下限]], 资产摘要[[#This Row],[占比]]&lt;=资产摘要[[#This Row],[判定上限]]),"合理","不合理")</f>
        <v>合理</v>
      </c>
      <c r="S7" s="24">
        <v>0</v>
      </c>
      <c r="T7" s="24">
        <v>0.5</v>
      </c>
    </row>
    <row r="8" spans="1:20" ht="30" customHeight="1">
      <c r="A8" s="77" t="s">
        <v>44</v>
      </c>
      <c r="B8" s="63">
        <f ca="1">SUMIFS(ExpJan[金额],ExpJan[类别],资产摘要[[#This Row],[资产归属]])</f>
        <v>9.1669999999999998E-3</v>
      </c>
      <c r="C8" s="61">
        <f ca="1">SUMIFS(ExpFeb[金额],ExpFeb[类别],资产摘要[[#This Row],[资产归属]])</f>
        <v>9.1669999999999998E-3</v>
      </c>
      <c r="D8" s="61">
        <f ca="1">SUMIFS(ExpMar[金额],ExpMar[类别],资产摘要[[#This Row],[资产归属]])</f>
        <v>9.1669999999999998E-3</v>
      </c>
      <c r="E8" s="61">
        <f ca="1">SUMIFS(ExpApr[金额],ExpApr[类别],资产摘要[[#This Row],[资产归属]])</f>
        <v>9.1669999999999998E-3</v>
      </c>
      <c r="F8" s="61">
        <f ca="1">SUMIFS(ExpMay[金额],ExpMay[类别],资产摘要[[#This Row],[资产归属]])</f>
        <v>9.1669999999999998E-3</v>
      </c>
      <c r="G8" s="61">
        <f ca="1">SUMIFS(ExpJun[金额],ExpJun[类别],资产摘要[[#This Row],[资产归属]])</f>
        <v>5701.12</v>
      </c>
      <c r="H8" s="61">
        <f ca="1">SUMIFS(ExpJul[金额],ExpJul[类别],资产摘要[[#This Row],[资产归属]])</f>
        <v>7.1264000000000008E-2</v>
      </c>
      <c r="I8" s="64">
        <f ca="1">SUMIFS(ExpAug[金额],ExpAug[类别],资产摘要[[#This Row],[资产归属]])</f>
        <v>9.1669999999999998E-3</v>
      </c>
      <c r="J8" s="62">
        <f ca="1">SUMIFS(ExpSep[金额],ExpSep[类别],资产摘要[[#This Row],[资产归属]])</f>
        <v>9.1670000000000001E-2</v>
      </c>
      <c r="K8" s="62">
        <f ca="1">SUMIFS(ExpOct[金额],ExpOct[类别],资产摘要[[#This Row],[资产归属]])</f>
        <v>0</v>
      </c>
      <c r="L8" s="64">
        <f ca="1">SUMIFS(ExpNov[金额],ExpNov[类别],资产摘要[[#This Row],[资产归属]])</f>
        <v>9.1669999999999998E-3</v>
      </c>
      <c r="M8" s="64">
        <f ca="1">SUMIFS(ExpDec[金额],ExpDec[类别],资产摘要[[#This Row],[资产归属]])</f>
        <v>9.1669999999999998E-3</v>
      </c>
      <c r="N8" s="53" cm="1">
        <f t="array" aca="1" ref="N8" ca="1">IFERROR(
    IF(
        INDEX(B8:M8, MONTH(TODAY())) = 0,
        INDEX(B8:M8, IF(MONTH(TODAY())=1, 12, MONTH(TODAY())-1)) -
        INDEX(B8:M8, IF(MONTH(TODAY())=1, 11, MONTH(TODAY())-2)),
        INDEX(B8:M8, MONTH(TODAY())) -
        INDEX(B8:M8, IF(MONTH(TODAY())=1, 12, MONTH(TODAY())-1))
    ),
    ""
)</f>
        <v>0</v>
      </c>
      <c r="O8" s="48" cm="1">
        <f t="array" aca="1" ref="O8" ca="1">IFERROR(
    IF(
        INDEX(B8:M8, MONTH(TODAY())) = 0,
        INDEX(B8:M8, IF(MONTH(TODAY())=1, 12, MONTH(TODAY())-1)) -
        INDEX(B8:M8, IF(MONTH(TODAY())=1, 11, MONTH(TODAY())-2)),
        INDEX(B8:M8, MONTH(TODAY())) -
        INDEX(B8:M8, IF(MONTH(TODAY())=1, 12, MONTH(TODAY())-1))
    ),
    ""
)/
IFERROR(
    IF(
        INDEX(B8:M8, MONTH(TODAY())) = 0,
        INDEX(B8:M8,MONTH(TODAY())-1),
        INDEX(B8:M8,MONTH(TODAY()))    ),
    ""
)</f>
        <v>0</v>
      </c>
      <c r="P8" s="49"/>
      <c r="Q8" s="78">
        <f ca="1">INDEX(资产摘要[#This Row], MATCH(TEXT(TODAY(),"m") &amp; "月", 资产摘要[#Headers], 0))/INDEX(资产摘要[#Totals], MATCH(TEXT(TODAY(),"m") &amp; "月", 资产摘要[#Headers], 0))</f>
        <v>1.6050905152983847E-8</v>
      </c>
      <c r="R8" s="16" t="str">
        <f ca="1">IF(AND(资产摘要[[#This Row],[占比]]&gt;=资产摘要[[#This Row],[判定下限]], 资产摘要[[#This Row],[占比]]&lt;=资产摘要[[#This Row],[判定上限]]),"合理","不合理")</f>
        <v>合理</v>
      </c>
      <c r="S8" s="24">
        <v>0</v>
      </c>
      <c r="T8" s="24">
        <v>0.05</v>
      </c>
    </row>
    <row r="9" spans="1:20" ht="30" customHeight="1">
      <c r="A9" s="77" t="s">
        <v>53</v>
      </c>
      <c r="B9" s="63">
        <f>SUMIFS(ExpJan[金额],ExpJan[类别],资产摘要[[#This Row],[资产归属]])</f>
        <v>0.2</v>
      </c>
      <c r="C9" s="61">
        <f>SUMIFS(ExpFeb[金额],ExpFeb[类别],资产摘要[[#This Row],[资产归属]])</f>
        <v>10086.780000000001</v>
      </c>
      <c r="D9" s="61">
        <f>SUMIFS(ExpMar[金额],ExpMar[类别],资产摘要[[#This Row],[资产归属]])</f>
        <v>0.02</v>
      </c>
      <c r="E9" s="61">
        <f>SUMIFS(ExpApr[金额],ExpApr[类别],资产摘要[[#This Row],[资产归属]])</f>
        <v>0.04</v>
      </c>
      <c r="F9" s="61">
        <f>SUMIFS(ExpMay[金额],ExpMay[类别],资产摘要[[#This Row],[资产归属]])</f>
        <v>1.04</v>
      </c>
      <c r="G9" s="61">
        <f>SUMIFS(ExpJun[金额],ExpJun[类别],资产摘要[[#This Row],[资产归属]])</f>
        <v>310.98</v>
      </c>
      <c r="H9" s="61">
        <f>SUMIFS(ExpJul[金额],ExpJul[类别],资产摘要[[#This Row],[资产归属]])</f>
        <v>46.54</v>
      </c>
      <c r="I9" s="64">
        <f>SUMIFS(ExpAug[金额],ExpAug[类别],资产摘要[[#This Row],[资产归属]])</f>
        <v>1.96</v>
      </c>
      <c r="J9" s="62">
        <f>SUMIFS(ExpSep[金额],ExpSep[类别],资产摘要[[#This Row],[资产归属]])</f>
        <v>0.96</v>
      </c>
      <c r="K9" s="62">
        <f>SUMIFS(ExpOct[金额],ExpOct[类别],资产摘要[[#This Row],[资产归属]])</f>
        <v>1.1499999999999999</v>
      </c>
      <c r="L9" s="64">
        <f>SUMIFS(ExpNov[金额],ExpNov[类别],资产摘要[[#This Row],[资产归属]])</f>
        <v>0.15</v>
      </c>
      <c r="M9" s="64">
        <f>SUMIFS(ExpDec[金额],ExpDec[类别],资产摘要[[#This Row],[资产归属]])</f>
        <v>63.5</v>
      </c>
      <c r="N9" s="53" cm="1">
        <f t="array" aca="1" ref="N9" ca="1">IFERROR(
    IF(
        INDEX(B9:M9, MONTH(TODAY())) = 0,
        INDEX(B9:M9, IF(MONTH(TODAY())=1, 12, MONTH(TODAY())-1)) -
        INDEX(B9:M9, IF(MONTH(TODAY())=1, 11, MONTH(TODAY())-2)),
        INDEX(B9:M9, MONTH(TODAY())) -
        INDEX(B9:M9, IF(MONTH(TODAY())=1, 12, MONTH(TODAY())-1))
    ),
    ""
)</f>
        <v>1</v>
      </c>
      <c r="O9" s="48" cm="1">
        <f t="array" aca="1" ref="O9" ca="1">IFERROR(
    IF(
        INDEX(B9:M9, MONTH(TODAY())) = 0,
        INDEX(B9:M9, IF(MONTH(TODAY())=1, 12, MONTH(TODAY())-1)) -
        INDEX(B9:M9, IF(MONTH(TODAY())=1, 11, MONTH(TODAY())-2)),
        INDEX(B9:M9, MONTH(TODAY())) -
        INDEX(B9:M9, IF(MONTH(TODAY())=1, 12, MONTH(TODAY())-1))
    ),
    ""
)/
IFERROR(
    IF(
        INDEX(B9:M9, MONTH(TODAY())) = 0,
        INDEX(B9:M9,MONTH(TODAY())-1),
        INDEX(B9:M9,MONTH(TODAY()))    ),
    ""
)</f>
        <v>0.96153846153846145</v>
      </c>
      <c r="P9" s="49"/>
      <c r="Q9" s="78">
        <f ca="1">INDEX(资产摘要[#This Row], MATCH(TEXT(TODAY(),"m") &amp; "月", 资产摘要[#Headers], 0))/INDEX(资产摘要[#Totals], MATCH(TEXT(TODAY(),"m") &amp; "月", 资产摘要[#Headers], 0))</f>
        <v>1.8209819307410495E-6</v>
      </c>
      <c r="R9" s="16" t="str">
        <f ca="1">IF(AND(资产摘要[[#This Row],[占比]]&gt;=资产摘要[[#This Row],[判定下限]], 资产摘要[[#This Row],[占比]]&lt;=资产摘要[[#This Row],[判定上限]]),"合理","不合理")</f>
        <v>合理</v>
      </c>
      <c r="S9" s="23">
        <v>0</v>
      </c>
      <c r="T9" s="23">
        <v>0.05</v>
      </c>
    </row>
    <row r="10" spans="1:20" ht="30" customHeight="1">
      <c r="A10" s="77" t="s">
        <v>51</v>
      </c>
      <c r="B10" s="63">
        <f>SUMIFS(ExpJan[金额],ExpJan[类别],资产摘要[[#This Row],[资产归属]])</f>
        <v>134.86000000000001</v>
      </c>
      <c r="C10" s="60">
        <f>SUMIFS(ExpFeb[金额],ExpFeb[类别],资产摘要[[#This Row],[资产归属]])</f>
        <v>866.21</v>
      </c>
      <c r="D10" s="61">
        <f>SUMIFS(ExpMar[金额],ExpMar[类别],资产摘要[[#This Row],[资产归属]])</f>
        <v>7.34</v>
      </c>
      <c r="E10" s="61">
        <f>SUMIFS(ExpApr[金额],ExpApr[类别],资产摘要[[#This Row],[资产归属]])</f>
        <v>1.9</v>
      </c>
      <c r="F10" s="61">
        <f>SUMIFS(ExpMay[金额],ExpMay[类别],资产摘要[[#This Row],[资产归属]])</f>
        <v>9.9</v>
      </c>
      <c r="G10" s="61">
        <f>SUMIFS(ExpJun[金额],ExpJun[类别],资产摘要[[#This Row],[资产归属]])</f>
        <v>1286.0900000000001</v>
      </c>
      <c r="H10" s="61">
        <f>SUMIFS(ExpJul[金额],ExpJul[类别],资产摘要[[#This Row],[资产归属]])</f>
        <v>2.9299999999999997</v>
      </c>
      <c r="I10" s="64">
        <f>SUMIFS(ExpAug[金额],ExpAug[类别],资产摘要[[#This Row],[资产归属]])</f>
        <v>5.9499999999999993</v>
      </c>
      <c r="J10" s="62">
        <f>SUMIFS(ExpSep[金额],ExpSep[类别],资产摘要[[#This Row],[资产归属]])</f>
        <v>2</v>
      </c>
      <c r="K10" s="62">
        <f>SUMIFS(ExpOct[金额],ExpOct[类别],资产摘要[[#This Row],[资产归属]])</f>
        <v>160.92999999999998</v>
      </c>
      <c r="L10" s="64">
        <f>SUMIFS(ExpNov[金额],ExpNov[类别],资产摘要[[#This Row],[资产归属]])</f>
        <v>0.9</v>
      </c>
      <c r="M10" s="64">
        <f>SUMIFS(ExpDec[金额],ExpDec[类别],资产摘要[[#This Row],[资产归属]])</f>
        <v>1.06</v>
      </c>
      <c r="N10" s="53" cm="1">
        <f t="array" aca="1" ref="N10" ca="1">IFERROR(
    INDEX(B10:M10, MONTH(TODAY())) -
    INDEX(B10:M10, IF(MONTH(TODAY())=1, 12, MONTH(TODAY())-1)),
    "")</f>
        <v>8</v>
      </c>
      <c r="O10" s="48" cm="1">
        <f t="array" aca="1" ref="O10" ca="1">IFERROR(
    IF(
        INDEX(B10:M10, MONTH(TODAY())) = 0,
        INDEX(B10:M10, IF(MONTH(TODAY())=1, 12, MONTH(TODAY())-1)) -
        INDEX(B10:M10, IF(MONTH(TODAY())=1, 11, MONTH(TODAY())-2)),
        INDEX(B10:M10, MONTH(TODAY())) -
        INDEX(B10:M10, IF(MONTH(TODAY())=1, 12, MONTH(TODAY())-1))
    ),
    ""
)/
IFERROR(
    IF(
        INDEX(B10:M10, MONTH(TODAY())) = 0,
        INDEX(B10:M10,MONTH(TODAY())-1),
        INDEX(B10:M10,MONTH(TODAY()))    ),
    ""
)</f>
        <v>0.80808080808080807</v>
      </c>
      <c r="P10" s="49"/>
      <c r="Q10" s="78">
        <f ca="1">INDEX(资产摘要[#This Row], MATCH(TEXT(TODAY(),"m") &amp; "月", 资产摘要[#Headers], 0))/INDEX(资产摘要[#Totals], MATCH(TEXT(TODAY(),"m") &amp; "月", 资产摘要[#Headers], 0))</f>
        <v>1.7334347225323452E-5</v>
      </c>
      <c r="R10" s="16" t="str">
        <f ca="1">IF(AND(资产摘要[[#This Row],[占比]]&gt;=资产摘要[[#This Row],[判定下限]], 资产摘要[[#This Row],[占比]]&lt;=资产摘要[[#This Row],[判定上限]]),"合理","不合理")</f>
        <v>合理</v>
      </c>
      <c r="S10" s="23">
        <v>0</v>
      </c>
      <c r="T10" s="23">
        <v>0.05</v>
      </c>
    </row>
    <row r="11" spans="1:20" ht="30" customHeight="1">
      <c r="A11" s="76" t="s">
        <v>32</v>
      </c>
      <c r="B11" s="63">
        <f>SUMIFS(ExpJan[金额],ExpJan[类别],资产摘要[[#This Row],[资产归属]])</f>
        <v>41299.21</v>
      </c>
      <c r="C11" s="63">
        <f>SUMIFS(ExpFeb[金额],ExpFeb[类别],资产摘要[[#This Row],[资产归属]])</f>
        <v>42623.14</v>
      </c>
      <c r="D11" s="63">
        <f>SUMIFS(ExpMar[金额],ExpMar[类别],资产摘要[[#This Row],[资产归属]])</f>
        <v>54889.23</v>
      </c>
      <c r="E11" s="61">
        <f>SUMIFS(ExpApr[金额],ExpApr[类别],资产摘要[[#This Row],[资产归属]])</f>
        <v>140024.49</v>
      </c>
      <c r="F11" s="61">
        <f>SUMIFS(ExpMay[金额],ExpMay[类别],资产摘要[[#This Row],[资产归属]])</f>
        <v>140296.64000000001</v>
      </c>
      <c r="G11" s="61">
        <f>SUMIFS(ExpJun[金额],ExpJun[类别],资产摘要[[#This Row],[资产归属]])</f>
        <v>21009.23</v>
      </c>
      <c r="H11" s="61">
        <f>SUMIFS(ExpJul[金额],ExpJul[类别],资产摘要[[#This Row],[资产归属]])</f>
        <v>20932.77</v>
      </c>
      <c r="I11" s="150">
        <f>SUMIFS(ExpAug[金额],ExpAug[类别],资产摘要[[#This Row],[资产归属]])</f>
        <v>21072.81</v>
      </c>
      <c r="J11" s="62">
        <f>SUMIFS(ExpSep[金额],ExpSep[类别],资产摘要[[#This Row],[资产归属]])</f>
        <v>20901.54</v>
      </c>
      <c r="K11" s="62">
        <f>SUMIFS(ExpOct[金额],ExpOct[类别],资产摘要[[#This Row],[资产归属]])</f>
        <v>21785.1</v>
      </c>
      <c r="L11" s="64">
        <f>SUMIFS(ExpNov[金额],ExpNov[类别],资产摘要[[#This Row],[资产归属]])</f>
        <v>22484.1</v>
      </c>
      <c r="M11" s="64">
        <f>SUMIFS(ExpDec[金额],ExpDec[类别],资产摘要[[#This Row],[资产归属]])</f>
        <v>26416.7</v>
      </c>
      <c r="N11" s="53" cm="1">
        <f t="array" aca="1" ref="N11" ca="1">IFERROR(
    IF(
        INDEX(B11:M11, MONTH(TODAY())) = 0,
        INDEX(B11:M11, IF(MONTH(TODAY())=1, 12, MONTH(TODAY())-1)) -
        INDEX(B11:M11, IF(MONTH(TODAY())=1, 11, MONTH(TODAY())-2)),
        INDEX(B11:M11, MONTH(TODAY())) -
        INDEX(B11:M11, IF(MONTH(TODAY())=1, 12, MONTH(TODAY())-1))
    ),
    ""
)</f>
        <v>272.15000000002328</v>
      </c>
      <c r="O11" s="48" cm="1">
        <f t="array" aca="1" ref="O11" ca="1">IFERROR(
    IF(
        INDEX(B11:M11, MONTH(TODAY())) = 0,
        INDEX(B11:M11, IF(MONTH(TODAY())=1, 12, MONTH(TODAY())-1)) -
        INDEX(B11:M11, IF(MONTH(TODAY())=1, 11, MONTH(TODAY())-2)),
        INDEX(B11:M11, MONTH(TODAY())) -
        INDEX(B11:M11, IF(MONTH(TODAY())=1, 12, MONTH(TODAY())-1))
    ),
    ""
)/
IFERROR(
    IF(
        INDEX(B11:M11, MONTH(TODAY())) = 0,
        INDEX(B11:M11,MONTH(TODAY())-1),
        INDEX(B11:M11,MONTH(TODAY()))    ),
    ""
)</f>
        <v>1.9398183734123872E-3</v>
      </c>
      <c r="P11" s="49"/>
      <c r="Q11" s="78">
        <f ca="1">INDEX(资产摘要[#This Row], MATCH(TEXT(TODAY(),"m") &amp; "月", 资产摘要[#Headers], 0))/INDEX(资产摘要[#Totals], MATCH(TEXT(TODAY(),"m") &amp; "月", 资产摘要[#Headers], 0))</f>
        <v>0.24565158306123266</v>
      </c>
      <c r="R11" s="16" t="str">
        <f ca="1">IF(AND(资产摘要[[#This Row],[占比]]&gt;=资产摘要[[#This Row],[判定下限]], 资产摘要[[#This Row],[占比]]&lt;=资产摘要[[#This Row],[判定上限]]),"合理","不合理")</f>
        <v>不合理</v>
      </c>
      <c r="S11" s="24">
        <v>0</v>
      </c>
      <c r="T11" s="24">
        <v>7.0000000000000007E-2</v>
      </c>
    </row>
    <row r="12" spans="1:20" ht="30" customHeight="1">
      <c r="A12" s="75" t="s">
        <v>40</v>
      </c>
      <c r="B12" s="60">
        <f>SUMIFS(ExpJan[金额],ExpJan[类别],资产摘要[[#This Row],[资产归属]])</f>
        <v>46588.66</v>
      </c>
      <c r="C12" s="60">
        <f>SUMIFS(ExpFeb[金额],ExpFeb[类别],资产摘要[[#This Row],[资产归属]])</f>
        <v>48786.92</v>
      </c>
      <c r="D12" s="60">
        <f>SUMIFS(ExpMar[金额],ExpMar[类别],资产摘要[[#This Row],[资产归属]])</f>
        <v>48266.09</v>
      </c>
      <c r="E12" s="61">
        <f>SUMIFS(ExpApr[金额],ExpApr[类别],资产摘要[[#This Row],[资产归属]])</f>
        <v>48651.67</v>
      </c>
      <c r="F12" s="61">
        <f>SUMIFS(ExpMay[金额],ExpMay[类别],资产摘要[[#This Row],[资产归属]])</f>
        <v>49834.35</v>
      </c>
      <c r="G12" s="61">
        <f>SUMIFS(ExpJun[金额],ExpJun[类别],资产摘要[[#This Row],[资产归属]])</f>
        <v>8484.92</v>
      </c>
      <c r="H12" s="61">
        <f>SUMIFS(ExpJul[金额],ExpJul[类别],资产摘要[[#This Row],[资产归属]])</f>
        <v>14584.32</v>
      </c>
      <c r="I12" s="62">
        <f>SUMIFS(ExpAug[金额],ExpAug[类别],资产摘要[[#This Row],[资产归属]])</f>
        <v>14975.57</v>
      </c>
      <c r="J12" s="62">
        <f>SUMIFS(ExpSep[金额],ExpSep[类别],资产摘要[[#This Row],[资产归属]])</f>
        <v>22866.26</v>
      </c>
      <c r="K12" s="62">
        <f>SUMIFS(ExpOct[金额],ExpOct[类别],资产摘要[[#This Row],[资产归属]])</f>
        <v>43401.35</v>
      </c>
      <c r="L12" s="62">
        <f>SUMIFS(ExpNov[金额],ExpNov[类别],资产摘要[[#This Row],[资产归属]])</f>
        <v>46395.65</v>
      </c>
      <c r="M12" s="62">
        <f>SUMIFS(ExpDec[金额],ExpDec[类别],资产摘要[[#This Row],[资产归属]])</f>
        <v>45130.43</v>
      </c>
      <c r="N12" s="53" cm="1">
        <f t="array" aca="1" ref="N12" ca="1">IFERROR(
    IF(
        INDEX(B12:M12, MONTH(TODAY())) = 0,
        INDEX(B12:M12, IF(MONTH(TODAY())=1, 12, MONTH(TODAY())-1)) -
        INDEX(B12:M12, IF(MONTH(TODAY())=1, 11, MONTH(TODAY())-2)),
        INDEX(B12:M12, MONTH(TODAY())) -
        INDEX(B12:M12, IF(MONTH(TODAY())=1, 12, MONTH(TODAY())-1))
    ),
    ""
)</f>
        <v>1182.6800000000003</v>
      </c>
      <c r="O12" s="48" cm="1">
        <f t="array" aca="1" ref="O12" ca="1">IFERROR(
    IF(
        INDEX(B12:M12, MONTH(TODAY())) = 0,
        INDEX(B12:M12, IF(MONTH(TODAY())=1, 12, MONTH(TODAY())-1)) -
        INDEX(B12:M12, IF(MONTH(TODAY())=1, 11, MONTH(TODAY())-2)),
        INDEX(B12:M12, MONTH(TODAY())) -
        INDEX(B12:M12, IF(MONTH(TODAY())=1, 12, MONTH(TODAY())-1))
    ),
    ""
)/
IFERROR(
    IF(
        INDEX(B12:M12, MONTH(TODAY())) = 0,
        INDEX(B12:M12,MONTH(TODAY())-1),
        INDEX(B12:M12,MONTH(TODAY()))    ),
    ""
)</f>
        <v>2.3732224860964383E-2</v>
      </c>
      <c r="P12" s="49"/>
      <c r="Q12" s="78">
        <f ca="1">INDEX(资产摘要[#This Row], MATCH(TEXT(TODAY(),"m") &amp; "月", 资产摘要[#Headers], 0))/INDEX(资产摘要[#Totals], MATCH(TEXT(TODAY(),"m") &amp; "月", 资产摘要[#Headers], 0))</f>
        <v>8.7257164307908863E-2</v>
      </c>
      <c r="R12" s="16" t="str">
        <f ca="1">IF(AND(资产摘要[[#This Row],[占比]]&gt;=资产摘要[[#This Row],[判定下限]], 资产摘要[[#This Row],[占比]]&lt;=资产摘要[[#This Row],[判定上限]]),"合理","不合理")</f>
        <v>合理</v>
      </c>
      <c r="S12" s="24">
        <v>0</v>
      </c>
      <c r="T12" s="24">
        <v>0.1</v>
      </c>
    </row>
    <row r="13" spans="1:20" ht="30" customHeight="1">
      <c r="A13" s="75" t="s">
        <v>42</v>
      </c>
      <c r="B13" s="60">
        <f>SUMIFS(ExpJan[金额],ExpJan[类别],资产摘要[[#This Row],[资产归属]])</f>
        <v>8846.0794000000005</v>
      </c>
      <c r="C13" s="60">
        <f>SUMIFS(ExpFeb[金额],ExpFeb[类别],资产摘要[[#This Row],[资产归属]])</f>
        <v>7530.4296000000004</v>
      </c>
      <c r="D13" s="60">
        <f>SUMIFS(ExpMar[金额],ExpMar[类别],资产摘要[[#This Row],[资产归属]])</f>
        <v>7845.43</v>
      </c>
      <c r="E13" s="61">
        <f>SUMIFS(ExpApr[金额],ExpApr[类别],资产摘要[[#This Row],[资产归属]])</f>
        <v>7988.15</v>
      </c>
      <c r="F13" s="61">
        <f>SUMIFS(ExpMay[金额],ExpMay[类别],资产摘要[[#This Row],[资产归属]])</f>
        <v>8321.18</v>
      </c>
      <c r="G13" s="61">
        <f>SUMIFS(ExpJun[金额],ExpJun[类别],资产摘要[[#This Row],[资产归属]])</f>
        <v>9117.5229999999992</v>
      </c>
      <c r="H13" s="61">
        <f>SUMIFS(ExpJul[金额],ExpJul[类别],资产摘要[[#This Row],[资产归属]])</f>
        <v>9103.7375000000011</v>
      </c>
      <c r="I13" s="62">
        <f>SUMIFS(ExpAug[金额],ExpAug[类别],资产摘要[[#This Row],[资产归属]])</f>
        <v>9129.9894000000004</v>
      </c>
      <c r="J13" s="62">
        <f>SUMIFS(ExpSep[金额],ExpSep[类别],资产摘要[[#This Row],[资产归属]])</f>
        <v>8962.8624</v>
      </c>
      <c r="K13" s="62">
        <f>SUMIFS(ExpOct[金额],ExpOct[类别],资产摘要[[#This Row],[资产归属]])</f>
        <v>8791.1157999999996</v>
      </c>
      <c r="L13" s="62">
        <f>SUMIFS(ExpNov[金额],ExpNov[类别],资产摘要[[#This Row],[资产归属]])</f>
        <v>8960.1876000000011</v>
      </c>
      <c r="M13" s="62">
        <f>SUMIFS(ExpDec[金额],ExpDec[类别],资产摘要[[#This Row],[资产归属]])</f>
        <v>8644.3212000000003</v>
      </c>
      <c r="N13" s="53" cm="1">
        <f t="array" aca="1" ref="N13" ca="1">IFERROR(
    IF(
        INDEX(B13:M13, MONTH(TODAY())) = 0,
        INDEX(B13:M13, IF(MONTH(TODAY())=1, 12, MONTH(TODAY())-1)) -
        INDEX(B13:M13, IF(MONTH(TODAY())=1, 11, MONTH(TODAY())-2)),
        INDEX(B13:M13, MONTH(TODAY())) -
        INDEX(B13:M13, IF(MONTH(TODAY())=1, 12, MONTH(TODAY())-1))
    ),
    ""
)</f>
        <v>333.03000000000065</v>
      </c>
      <c r="O13" s="48" cm="1">
        <f t="array" aca="1" ref="O13" ca="1">IFERROR(
    IF(
        INDEX(B13:M13, MONTH(TODAY())) = 0,
        INDEX(B13:M13, IF(MONTH(TODAY())=1, 12, MONTH(TODAY())-1)) -
        INDEX(B13:M13, IF(MONTH(TODAY())=1, 11, MONTH(TODAY())-2)),
        INDEX(B13:M13, MONTH(TODAY())) -
        INDEX(B13:M13, IF(MONTH(TODAY())=1, 12, MONTH(TODAY())-1))
    ),
    ""
)/
IFERROR(
    IF(
        INDEX(B13:M13, MONTH(TODAY())) = 0,
        INDEX(B13:M13,MONTH(TODAY())-1),
        INDEX(B13:M13,MONTH(TODAY()))    ),
    ""
)</f>
        <v>4.0021968038186972E-2</v>
      </c>
      <c r="P13" s="49"/>
      <c r="Q13" s="78">
        <f ca="1">INDEX(资产摘要[#This Row], MATCH(TEXT(TODAY(),"m") &amp; "月", 资产摘要[#Headers], 0))/INDEX(资产摘要[#Totals], MATCH(TEXT(TODAY(),"m") &amp; "月", 资产摘要[#Headers], 0))</f>
        <v>1.4569921560042122E-2</v>
      </c>
      <c r="R13" s="16" t="str">
        <f ca="1">IF(AND(资产摘要[[#This Row],[占比]]&gt;=资产摘要[[#This Row],[判定下限]], 资产摘要[[#This Row],[占比]]&lt;=资产摘要[[#This Row],[判定上限]]),"合理","不合理")</f>
        <v>不合理</v>
      </c>
      <c r="S13" s="24">
        <v>0.02</v>
      </c>
      <c r="T13" s="24">
        <v>0.04</v>
      </c>
    </row>
    <row r="14" spans="1:20" ht="30" customHeight="1">
      <c r="A14" s="66" t="str" cm="1">
        <f t="array" aca="1" ref="A14" ca="1">IFERROR(
    _xlfn.LET(
        _xlpm.data, B14:M14,
        _xlpm.nonZeroData, IF(_xlpm.data&gt;0, _xlpm.data, ""),
        _xlpm.minVal, MIN(_xlpm.nonZeroData),
        _xlpm.maxVal, MAX(_xlpm.data),
        _xlpm.startPos, MATCH(_xlpm.minVal, _xlpm.nonZeroData, 0),
        _xlpm.endPos, MATCH(_xlpm.maxVal, _xlpm.data, 0),
        _xlpm.startDate, INDEX(B2:M2, _xlpm.startPos),
        _xlpm.endDate, INDEX(B2:M2, _xlpm.endPos),
        IF(_xlpm.endDate &lt; _xlpm.startDate, "",
            (_xlpm.maxVal / _xlpm.minVal) -1
        )
    ),
    ""
)</f>
        <v/>
      </c>
      <c r="B14" s="56">
        <f ca="1">SUBTOTAL(109,资产摘要[1月])</f>
        <v>338019.148567</v>
      </c>
      <c r="C14" s="57">
        <f ca="1">SUBTOTAL(109,资产摘要[2月])</f>
        <v>372165.83876700007</v>
      </c>
      <c r="D14" s="57">
        <f ca="1">SUBTOTAL(109,资产摘要[3月])</f>
        <v>542056.88916700007</v>
      </c>
      <c r="E14" s="57">
        <f ca="1">SUBTOTAL(109,资产摘要[4月])</f>
        <v>550390.34916700004</v>
      </c>
      <c r="F14" s="57">
        <f ca="1">SUBTOTAL(109,资产摘要[5月])</f>
        <v>571120.43916700012</v>
      </c>
      <c r="G14" s="57">
        <f ca="1">SUBTOTAL(109,资产摘要[6月])</f>
        <v>291232.29299999995</v>
      </c>
      <c r="H14" s="57">
        <f ca="1">SUBTOTAL(109,资产摘要[7月])</f>
        <v>300865.978764</v>
      </c>
      <c r="I14" s="58">
        <f ca="1">SUBTOTAL(109,资产摘要[8月])</f>
        <v>306227.96856700006</v>
      </c>
      <c r="J14" s="58">
        <f ca="1">SUBTOTAL(109,资产摘要[9月])</f>
        <v>303102.33406999998</v>
      </c>
      <c r="K14" s="58">
        <f ca="1">SUBTOTAL(109,资产摘要[10月])</f>
        <v>316255.69579999999</v>
      </c>
      <c r="L14" s="58">
        <f ca="1">SUBTOTAL(109,资产摘要[11月])</f>
        <v>321154.71676700003</v>
      </c>
      <c r="M14" s="58">
        <f ca="1">SUBTOTAL(109,资产摘要[12月])</f>
        <v>325004.85036700004</v>
      </c>
      <c r="N14" s="79">
        <f ca="1">SUBTOTAL(109,资产摘要[差额小计])</f>
        <v>20730.080000000009</v>
      </c>
      <c r="O14" s="148" cm="1">
        <f t="array" aca="1" ref="O14" ca="1">IFERROR(
    IF(
        INDEX(B14:M14, MONTH(TODAY())) = 0,
        INDEX(B14:M14, IF(MONTH(TODAY())=1, 12, MONTH(TODAY())-1)) -
        INDEX(B14:M14, IF(MONTH(TODAY())=1, 11, MONTH(TODAY())-2)),
        INDEX(B14:M14, MONTH(TODAY())) -
        INDEX(B14:M14, IF(MONTH(TODAY())=1, 12, MONTH(TODAY())-1))
    ),
    ""
)/
IFERROR(
    IF(
        INDEX(B14:M14, MONTH(TODAY())) = 0,
        INDEX(B14:M14,MONTH(TODAY())-1),
        INDEX(B14:M14,MONTH(TODAY()))    ),
    ""
)</f>
        <v>3.6297230108303727E-2</v>
      </c>
      <c r="P14" s="52" t="str" cm="1">
        <f t="array" aca="1" ref="P14" ca="1">IFERROR(
    _xlfn.LET(
        _xlpm.data, B14:M14,
        _xlpm.nonZeroData, IF(_xlpm.data&gt;0, _xlpm.data, ""),
        _xlpm.minVal, MIN(_xlpm.nonZeroData),
        _xlpm.maxVal, MAX(_xlpm.data),
        _xlpm.startPos, MATCH(_xlpm.minVal, _xlpm.nonZeroData, 0),
        _xlpm.endPos, MATCH(_xlpm.maxVal, _xlpm.data, 0),
        _xlpm.startDate, INDEX(B2:M2, _xlpm.startPos),
        _xlpm.endDate, INDEX(B2:M2, _xlpm.endPos),
        IF(_xlpm.endDate &lt; _xlpm.startDate, "",
            _xlfn.LET(
                _xlpm.months, DATEDIF(_xlpm.startDate, _xlpm.endDate, "m") +1,
                (_xlpm.maxVal / _xlpm.minVal) ^ (12/_xlpm.months) -1
            )
        )
    ),
    ""
)</f>
        <v/>
      </c>
      <c r="Q14" s="15">
        <f ca="1">SUBTOTAL(109,资产摘要[占比])</f>
        <v>0.99999999999999967</v>
      </c>
      <c r="R14" s="22"/>
      <c r="S14" s="26">
        <f>SUBTOTAL(109,资产摘要[判定下限])</f>
        <v>0.62</v>
      </c>
      <c r="T14" s="25">
        <f>SUBTOTAL(109,资产摘要[判定上限])</f>
        <v>1.7100000000000004</v>
      </c>
    </row>
    <row r="15" spans="1:20" ht="30" customHeight="1" thickBot="1">
      <c r="A15" s="65" t="s">
        <v>70</v>
      </c>
      <c r="B15" s="59">
        <f ca="1">资产摘要[[#Totals],[1月]]/资产摘要[[#Totals],[12月]]-1</f>
        <v>4.0043396845628632E-2</v>
      </c>
      <c r="C15" s="59">
        <f ca="1">IFERROR(
    _xlfn.LET(
        _xlpm.result, 资产摘要[[#Totals],[2月]]/资产摘要[[#Totals],[1月]]-1,
        IF(OR(_xlpm.result=0, _xlpm.result=-1), 0, _xlpm.result)
    ),
    0
)</f>
        <v>0.1010199876094644</v>
      </c>
      <c r="D15" s="59">
        <f ca="1">IFERROR(
    _xlfn.LET(
        _xlpm.result, 资产摘要[[#Totals],[3月]]/资产摘要[[#Totals],[2月]]-1,
        IF(OR(_xlpm.result=0, _xlpm.result=-1), 0, _xlpm.result)
    ),
    0
)</f>
        <v>0.45649286609124484</v>
      </c>
      <c r="E15" s="59">
        <f ca="1">IFERROR(
    _xlfn.LET(
        _xlpm.result, 资产摘要[[#Totals],[4月]]/资产摘要[[#Totals],[3月]]-1,
        IF(OR(_xlpm.result=0, _xlpm.result=-1), 0, _xlpm.result)
    ),
    0
)</f>
        <v>1.5373773798551538E-2</v>
      </c>
      <c r="F15" s="59">
        <f ca="1">IFERROR(
    _xlfn.LET(
        _xlpm.result, 资产摘要[[#Totals],[5月]]/资产摘要[[#Totals],[4月]]-1,
        IF(OR(_xlpm.result=0, _xlpm.result=-1), 0, _xlpm.result)
    ),
    0
)</f>
        <v>3.7664341374034738E-2</v>
      </c>
      <c r="G15" s="59">
        <f ca="1">IFERROR(
    _xlfn.LET(
        _xlpm.result, 资产摘要[[#Totals],[6月]]/资产摘要[[#Totals],[5月]]-1,
        IF(OR(_xlpm.result=0, _xlpm.result=-1), 0, _xlpm.result)
    ),
    0
)</f>
        <v>-0.4900685161526126</v>
      </c>
      <c r="H15" s="59">
        <f ca="1">IFERROR(
    _xlfn.LET(
        _xlpm.result, 资产摘要[[#Totals],[7月]]/资产摘要[[#Totals],[6月]]-1,
        IF(OR(_xlpm.result=0, _xlpm.result=-1), 0, _xlpm.result)
    ),
    0
)</f>
        <v>3.3079043758379001E-2</v>
      </c>
      <c r="I15" s="59">
        <f ca="1">IFERROR(
    _xlfn.LET(
        _xlpm.result, 资产摘要[[#Totals],[8月]]/资产摘要[[#Totals],[7月]]-1,
        IF(OR(_xlpm.result=0, _xlpm.result=-1), 0, _xlpm.result)
    ),
    0
)</f>
        <v>1.7821854850547991E-2</v>
      </c>
      <c r="J15" s="59">
        <f ca="1">IFERROR(
    _xlfn.LET(
        _xlpm.result, 资产摘要[[#Totals],[9月]]/资产摘要[[#Totals],[8月]]-1,
        IF(OR(_xlpm.result=0, _xlpm.result=-1), 0, _xlpm.result)
    ),
    0
)</f>
        <v>-1.0206887736696757E-2</v>
      </c>
      <c r="K15" s="59">
        <f ca="1">IFERROR(
    _xlfn.LET(
        _xlpm.result, 资产摘要[[#Totals],[10月]]/资产摘要[[#Totals],[9月]]-1,
        IF(OR(_xlpm.result=0, _xlpm.result=-1), 0, _xlpm.result)
    ),
    0
)</f>
        <v>4.3395778426972731E-2</v>
      </c>
      <c r="L15" s="59">
        <f ca="1">IFERROR(
    _xlfn.LET(
        _xlpm.result, 资产摘要[[#Totals],[11月]]/资产摘要[[#Totals],[10月]]-1,
        IF(OR(_xlpm.result=0, _xlpm.result=-1), 0, _xlpm.result)
    ),
    0
)</f>
        <v>1.5490696395546344E-2</v>
      </c>
      <c r="M15" s="59">
        <f ca="1">IFERROR(
    _xlfn.LET(
        _xlpm.result, 资产摘要[[#Totals],[12月]]/资产摘要[[#Totals],[11月]]-1,
        IF(OR(_xlpm.result=0, _xlpm.result=-1), 0, _xlpm.result)
    ),
    0
)</f>
        <v>1.1988407452826921E-2</v>
      </c>
      <c r="N15" s="50">
        <f ca="1">IF(COUNTIF(B15:M15, "&gt;-10%")&gt;0, SUMIF(B15:M15, "&gt;-10%")/COUNTIF(B15:M15, "&gt;-10%"), 0)</f>
        <v>6.9287568987863674E-2</v>
      </c>
      <c r="O15" s="50"/>
      <c r="P15" s="51"/>
      <c r="Q15" s="15"/>
      <c r="R15" s="22"/>
      <c r="S15" s="26"/>
      <c r="T15" s="25"/>
    </row>
    <row r="17" spans="1:22" ht="29.45" customHeight="1">
      <c r="U17" s="162" t="s">
        <v>152</v>
      </c>
      <c r="V17" s="162" t="s">
        <v>153</v>
      </c>
    </row>
    <row r="18" spans="1:22" ht="30" customHeight="1">
      <c r="U18" s="161">
        <f ca="1">YEAR(TODAY())</f>
        <v>2026</v>
      </c>
      <c r="V18" s="58">
        <f ca="1">MAX(资产摘要[[#Totals],[1月]:[12月]])* (1+$N$15)^( (U18 - YEAR(TODAY())) * 12 + (12 - MONTH(TODAY())) )</f>
        <v>912828.78923280293</v>
      </c>
    </row>
    <row r="19" spans="1:22" ht="30" customHeight="1">
      <c r="U19" s="161">
        <f ca="1">U18+1</f>
        <v>2027</v>
      </c>
      <c r="V19" s="58">
        <f ca="1">MAX(资产摘要[[#Totals],[1月]:[12月]])* (1+$N$15)^( (U19 - YEAR(TODAY())) * 12 + (12 - MONTH(TODAY())) )</f>
        <v>2039499.2226199752</v>
      </c>
    </row>
    <row r="20" spans="1:22" ht="30" customHeight="1">
      <c r="U20" s="161">
        <f ca="1">U19+1</f>
        <v>2028</v>
      </c>
      <c r="V20" s="58">
        <f ca="1">MAX(资产摘要[[#Totals],[1月]:[12月]])* (1+$N$15)^( (U20 - YEAR(TODAY())) * 12 + (12 - MONTH(TODAY())) )</f>
        <v>4556776.832776526</v>
      </c>
    </row>
    <row r="21" spans="1:22" ht="30" customHeight="1">
      <c r="U21" s="161">
        <f ca="1">U20+1</f>
        <v>2029</v>
      </c>
      <c r="V21" s="58">
        <f ca="1">MAX(资产摘要[[#Totals],[1月]:[12月]])* (1+$N$15)^( (U21 - YEAR(TODAY())) * 12 + (12 - MONTH(TODAY())) )</f>
        <v>10181036.047199277</v>
      </c>
    </row>
    <row r="22" spans="1:22" ht="30" customHeight="1">
      <c r="U22" s="161">
        <f ca="1">U21+1</f>
        <v>2030</v>
      </c>
      <c r="V22" s="58">
        <f ca="1">MAX(资产摘要[[#Totals],[1月]:[12月]])* (1+$N$15)^( (U22 - YEAR(TODAY())) * 12 + (12 - MONTH(TODAY())) )</f>
        <v>22747108.054272026</v>
      </c>
    </row>
    <row r="28" spans="1:22" ht="30" customHeight="1">
      <c r="A28" s="69"/>
      <c r="B28" s="31"/>
      <c r="C28"/>
      <c r="D28"/>
      <c r="E28"/>
      <c r="F28"/>
      <c r="G28"/>
      <c r="H28"/>
      <c r="I28"/>
      <c r="J28" s="31"/>
      <c r="K28" s="31"/>
      <c r="L28" s="31"/>
      <c r="M28"/>
      <c r="N28"/>
      <c r="O28"/>
      <c r="P28" s="36"/>
      <c r="Q28"/>
      <c r="R28"/>
    </row>
    <row r="29" spans="1:22" ht="30" customHeight="1">
      <c r="A29" s="70"/>
      <c r="B29" s="37"/>
      <c r="C29"/>
      <c r="D29"/>
      <c r="E29"/>
      <c r="F29"/>
      <c r="G29"/>
      <c r="H29"/>
      <c r="I29" s="27"/>
      <c r="J29" s="37"/>
      <c r="K29" s="37"/>
      <c r="L29" s="37"/>
      <c r="M29"/>
      <c r="N29"/>
      <c r="P29"/>
      <c r="Q29"/>
      <c r="R29"/>
    </row>
    <row r="30" spans="1:22" ht="30" customHeight="1">
      <c r="A30" s="70"/>
      <c r="B30" s="37"/>
      <c r="C30"/>
      <c r="D30"/>
      <c r="E30"/>
      <c r="F30"/>
      <c r="G30"/>
      <c r="H30"/>
      <c r="J30" s="37"/>
      <c r="K30" s="37"/>
      <c r="L30" s="37"/>
      <c r="M30"/>
      <c r="N30"/>
      <c r="O30"/>
      <c r="P30"/>
      <c r="Q30"/>
      <c r="R30"/>
    </row>
    <row r="31" spans="1:22" ht="25.15" customHeight="1">
      <c r="A31" s="70"/>
      <c r="B31" s="37"/>
      <c r="C31"/>
      <c r="D31"/>
      <c r="E31"/>
      <c r="F31"/>
      <c r="G31"/>
      <c r="H31"/>
      <c r="I31"/>
      <c r="J31" s="37"/>
      <c r="K31" s="37"/>
      <c r="L31" s="37"/>
      <c r="M31"/>
      <c r="N31"/>
      <c r="O31"/>
      <c r="P31"/>
      <c r="Q31"/>
      <c r="R31"/>
      <c r="U31" s="41"/>
    </row>
    <row r="32" spans="1:22" ht="25.9" customHeight="1">
      <c r="A32" s="71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15">
      <c r="A33" s="71"/>
      <c r="B33"/>
      <c r="C33"/>
      <c r="D33"/>
      <c r="E33"/>
      <c r="F33"/>
      <c r="G33"/>
      <c r="H33"/>
      <c r="I33"/>
      <c r="J33"/>
      <c r="K33"/>
      <c r="L33"/>
      <c r="M33" s="30"/>
      <c r="N33" s="31"/>
      <c r="O33"/>
      <c r="P33"/>
      <c r="Q33"/>
      <c r="R33"/>
    </row>
    <row r="34" spans="1:18" ht="15">
      <c r="A34" s="71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ht="15">
      <c r="A35" s="71"/>
      <c r="B35"/>
      <c r="C35"/>
      <c r="D35"/>
      <c r="E35"/>
      <c r="F35"/>
      <c r="G35"/>
      <c r="H35"/>
      <c r="I35"/>
      <c r="J35"/>
      <c r="K35"/>
      <c r="L35"/>
      <c r="N35"/>
      <c r="O35"/>
      <c r="P35"/>
      <c r="Q35"/>
      <c r="R35"/>
    </row>
    <row r="36" spans="1:18" ht="15">
      <c r="A36" s="71"/>
      <c r="B36"/>
      <c r="C36"/>
      <c r="D36"/>
      <c r="E36"/>
      <c r="F36"/>
      <c r="G36"/>
      <c r="H36"/>
      <c r="I36"/>
      <c r="J36"/>
      <c r="K36"/>
      <c r="L36"/>
      <c r="N36"/>
      <c r="O36"/>
      <c r="P36"/>
      <c r="Q36"/>
      <c r="R36"/>
    </row>
    <row r="37" spans="1:18" ht="15">
      <c r="A37" s="71"/>
      <c r="B37"/>
      <c r="C37"/>
      <c r="D37"/>
      <c r="E37"/>
      <c r="F37"/>
      <c r="G37"/>
      <c r="H37"/>
      <c r="I37"/>
      <c r="J37"/>
      <c r="K37"/>
      <c r="L37"/>
      <c r="M37"/>
      <c r="O37"/>
      <c r="Q37"/>
      <c r="R37"/>
    </row>
    <row r="38" spans="1:18" ht="15">
      <c r="A38" s="71"/>
      <c r="B38"/>
      <c r="C38"/>
      <c r="O38"/>
      <c r="P38"/>
      <c r="Q38"/>
      <c r="R38"/>
    </row>
    <row r="39" spans="1:18" ht="15">
      <c r="A39" s="71"/>
      <c r="B39"/>
      <c r="C39"/>
    </row>
    <row r="40" spans="1:18" ht="15">
      <c r="A40" s="71"/>
      <c r="B40"/>
      <c r="C40"/>
    </row>
    <row r="41" spans="1:18" ht="15">
      <c r="A41" s="71"/>
      <c r="B41"/>
      <c r="C41"/>
    </row>
    <row r="42" spans="1:18" ht="15">
      <c r="A42" s="71"/>
      <c r="B42"/>
      <c r="C42"/>
    </row>
    <row r="43" spans="1:18" ht="15">
      <c r="A43" s="71"/>
      <c r="B43"/>
      <c r="C43"/>
    </row>
    <row r="44" spans="1:18" ht="15"/>
    <row r="45" spans="1:18" ht="15"/>
    <row r="46" spans="1:18" ht="15"/>
    <row r="47" spans="1:18" ht="15"/>
  </sheetData>
  <dataConsolidate/>
  <mergeCells count="1">
    <mergeCell ref="B1:M1"/>
  </mergeCells>
  <phoneticPr fontId="10" type="noConversion"/>
  <conditionalFormatting sqref="B15:M15">
    <cfRule type="iconSet" priority="10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C5:C13">
    <cfRule type="dataBar" priority="47">
      <dataBar>
        <cfvo type="min"/>
        <cfvo type="num" val="$M$14"/>
        <color rgb="FF00D661"/>
      </dataBar>
      <extLst>
        <ext xmlns:x14="http://schemas.microsoft.com/office/spreadsheetml/2009/9/main" uri="{B025F937-C7B1-47D3-B67F-A62EFF666E3E}">
          <x14:id>{42BE4999-4BA9-46FC-B8C7-055086EE9EE2}</x14:id>
        </ext>
      </extLst>
    </cfRule>
  </conditionalFormatting>
  <conditionalFormatting sqref="M5:M13">
    <cfRule type="dataBar" priority="48">
      <dataBar>
        <cfvo type="min"/>
        <cfvo type="num" val="$M$14"/>
        <color rgb="FF00D661"/>
      </dataBar>
      <extLst>
        <ext xmlns:x14="http://schemas.microsoft.com/office/spreadsheetml/2009/9/main" uri="{B025F937-C7B1-47D3-B67F-A62EFF666E3E}">
          <x14:id>{FD1EEE45-47EF-4315-89AC-8ACF096CB2D9}</x14:id>
        </ext>
      </extLst>
    </cfRule>
  </conditionalFormatting>
  <conditionalFormatting sqref="N5:N13">
    <cfRule type="cellIs" dxfId="5" priority="15" operator="lessThan">
      <formula>0</formula>
    </cfRule>
    <cfRule type="cellIs" dxfId="4" priority="16" operator="greaterThan">
      <formula>0</formula>
    </cfRule>
  </conditionalFormatting>
  <conditionalFormatting sqref="O5:O13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 S5:T5">
    <cfRule type="iconSet" priority="3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Q5:Q13">
    <cfRule type="dataBar" priority="2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{0CDCAF61-18AC-4E95-93F0-344120FC7FC4}</x14:id>
        </ext>
      </extLst>
    </cfRule>
  </conditionalFormatting>
  <conditionalFormatting sqref="Q6 S6:T6">
    <cfRule type="iconSet" priority="8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Q7 S7:T7">
    <cfRule type="iconSet" priority="7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Q8 S8:T8">
    <cfRule type="iconSet" priority="6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Q9 S9:T9">
    <cfRule type="iconSet" priority="5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Q10 S10:T10">
    <cfRule type="iconSet" priority="4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5:R13">
    <cfRule type="containsText" dxfId="3" priority="13" operator="containsText" text="不合理">
      <formula>NOT(ISERROR(SEARCH("不合理",R5)))</formula>
    </cfRule>
  </conditionalFormatting>
  <dataValidations count="22">
    <dataValidation allowBlank="1" showInputMessage="1" showErrorMessage="1" prompt="跟踪 12 个月以来特定支出的支出趋势工作簿。除此摘要工作表外，此工作簿还包含一个提示工作表和每个月的工作表" sqref="A1" xr:uid="{00000000-0002-0000-0100-000000000000}"/>
    <dataValidation allowBlank="1" showInputMessage="1" showErrorMessage="1" prompt="在此列中输入支出名称" sqref="A4" xr:uid="{00000000-0002-0000-0100-000001000000}"/>
    <dataValidation allowBlank="1" showInputMessage="1" showErrorMessage="1" prompt="此列中自动显示 12 个月间的总支出" sqref="O4" xr:uid="{00000000-0002-0000-0100-000002000000}"/>
    <dataValidation allowBlank="1" showInputMessage="1" showErrorMessage="1" prompt="此列中显示迷你图，对 12 个月间 1 项支出的支出趋势进行可视化" sqref="P4" xr:uid="{00000000-0002-0000-0100-000003000000}"/>
    <dataValidation allowBlank="1" showInputMessage="1" showErrorMessage="1" prompt="单元格 B2 到 M2 包含导航链接，指向日历年中每个月支出的详细大纲，从 1 月开始，到 12 月结束。单元格 N2 包含指向提示工作表的导航链接" sqref="A2" xr:uid="{00000000-0002-0000-0100-000004000000}"/>
    <dataValidation allowBlank="1" showInputMessage="1" showErrorMessage="1" prompt="指向当月支出详细信息的导航超链接" sqref="B2:M2" xr:uid="{00000000-0002-0000-0100-000005000000}"/>
    <dataValidation allowBlank="1" showInputMessage="1" showErrorMessage="1" prompt="指向提示工作表的导航超链接，该工作表介绍如何使用此工作簿" sqref="N2" xr:uid="{00000000-0002-0000-0100-000006000000}"/>
    <dataValidation allowBlank="1" showInputMessage="1" showErrorMessage="1" prompt="B3 到 M3 中显示比较 1 月到 12 月支出的簇状柱形图。每个簇状柱形图上方 B2 到 M2 显示每个月的导航超链接。“支出摘要”表中显示每个月的支出摘要" sqref="A3" xr:uid="{00000000-0002-0000-0100-000007000000}"/>
    <dataValidation allowBlank="1" showInputMessage="1" showErrorMessage="1" prompt="比较 1 月支出的簇状柱形图。选择 B2 中的导航链接以查看支出详细信息。导航到从 B4 开始的“支出摘要”表，以查看每个支出金额的摘要" sqref="B3" xr:uid="{00000000-0002-0000-0100-000008000000}"/>
    <dataValidation allowBlank="1" showInputMessage="1" showErrorMessage="1" prompt="比较 2 月支出的簇状柱形图。选择 C2 中的导航链接以查看支出详细信息。导航到从 C4 开始的“支出摘要”表，以查看每个支出金额的摘要" sqref="C3" xr:uid="{00000000-0002-0000-0100-000009000000}"/>
    <dataValidation allowBlank="1" showInputMessage="1" showErrorMessage="1" prompt="比较 3 月支出的簇状柱形图。选择 D2 中的导航链接以查看支出详细信息。导航到从 D4 开始的“支出摘要”表，以查看每个支出金额的摘要" sqref="D3" xr:uid="{00000000-0002-0000-0100-00000A000000}"/>
    <dataValidation allowBlank="1" showInputMessage="1" showErrorMessage="1" prompt="比较 4 月支出的簇状柱形图。选择 E2 中的导航链接以查看支出详细信息。导航到从 E4 开始的“支出摘要”表，以查看每个支出金额的摘要" sqref="E3" xr:uid="{00000000-0002-0000-0100-00000B000000}"/>
    <dataValidation allowBlank="1" showInputMessage="1" showErrorMessage="1" prompt="比较 5 月支出的簇状柱形图。选择 F2 中的导航链接以查看支出详细信息。导航到从 F4 开始的“支出摘要”表，以查看每个支出金额的摘要" sqref="F3" xr:uid="{00000000-0002-0000-0100-00000C000000}"/>
    <dataValidation allowBlank="1" showInputMessage="1" showErrorMessage="1" prompt="比较 6 月支出的簇状柱形图。选择 G2 中的导航链接以查看支出详细信息。导航到从 G4 开始的“支出摘要”表，以查看每个支出金额的摘要" sqref="G3" xr:uid="{00000000-0002-0000-0100-00000D000000}"/>
    <dataValidation allowBlank="1" showInputMessage="1" showErrorMessage="1" prompt="比较 7 月支出的簇状柱形图。选择 H2 中的导航链接以查看支出详细信息。导航到从 H4 开始的“支出摘要”表，以查看每个支出金额的摘要" sqref="H3" xr:uid="{00000000-0002-0000-0100-00000E000000}"/>
    <dataValidation allowBlank="1" showInputMessage="1" showErrorMessage="1" prompt="比较 8 月支出的簇状柱形图。选择 I2 中的导航链接以查看支出详细信息。导航到从 I4 开始的“支出摘要”表，以查看每个支出金额的摘要" sqref="I3" xr:uid="{00000000-0002-0000-0100-00000F000000}"/>
    <dataValidation allowBlank="1" showInputMessage="1" showErrorMessage="1" prompt="比较 9 月支出的簇状柱形图。选择 J2 中的导航链接以查看支出详细信息。导航到从 J4 开始的“支出摘要”表，以查看每个支出金额的摘要" sqref="J3" xr:uid="{00000000-0002-0000-0100-000010000000}"/>
    <dataValidation allowBlank="1" showInputMessage="1" showErrorMessage="1" prompt="比较 10 月支出的簇状柱形图。选择 K2 中的导航链接以查看支出详细信息。导航到从 K4 开始的“支出摘要”表，以查看每个支出金额的摘要" sqref="K3" xr:uid="{00000000-0002-0000-0100-000011000000}"/>
    <dataValidation allowBlank="1" showInputMessage="1" showErrorMessage="1" prompt="比较 11 月支出的簇状柱形图。选择 L2 中的导航链接以查看支出详细信息。导航到从 L4 开始的“支出摘要”表，以查看每个支出金额的摘要" sqref="L3" xr:uid="{00000000-0002-0000-0100-000012000000}"/>
    <dataValidation allowBlank="1" showInputMessage="1" showErrorMessage="1" prompt="比较 12 月支出的簇状柱形图。选择 M2 中的导航链接以查看支出详细信息。导航到从 M4 开始的“支出摘要”表，以查看每个支出金额的摘要" sqref="M3" xr:uid="{00000000-0002-0000-0100-000013000000}"/>
    <dataValidation allowBlank="1" showInputMessage="1" showErrorMessage="1" prompt="簇状柱形图的图例" sqref="N3" xr:uid="{00000000-0002-0000-0100-000014000000}"/>
    <dataValidation allowBlank="1" showInputMessage="1" showErrorMessage="1" prompt="此列中自动显示支出金额" sqref="B4:N4" xr:uid="{00000000-0002-0000-0100-000015000000}"/>
  </dataValidations>
  <hyperlinks>
    <hyperlink ref="J2" location="'9月'!R1C1" tooltip="选择以导航到 9 月" display="'9月'!R1C1" xr:uid="{00000000-0004-0000-0100-000008000000}"/>
    <hyperlink ref="K2" location="'10月'!R1C1" tooltip="选择以导航到 10 月" display="'10月'!R1C1" xr:uid="{00000000-0004-0000-0100-000009000000}"/>
    <hyperlink ref="L2" location="'11 月'!R1C1" tooltip="选择以导航到 11 月" display="'11 月'!R1C1" xr:uid="{00000000-0004-0000-0100-00000A000000}"/>
    <hyperlink ref="M2" location="'12 月'!R1C1" tooltip="选择以导航到 12 月" display="'12 月'!R1C1" xr:uid="{00000000-0004-0000-0100-00000B000000}"/>
    <hyperlink ref="N2" location="提示!A1" tooltip="选择以导航到提示" display="提示" xr:uid="{00000000-0004-0000-0100-00000C000000}"/>
    <hyperlink ref="I2" location="'9月'!R1C1" tooltip="选择以导航到 9 月" display="'9月'!R1C1" xr:uid="{CE34C7B8-4E13-42E5-B1FD-3B7311D076BA}"/>
    <hyperlink ref="H2" location="'9月'!R1C1" tooltip="选择以导航到 9 月" display="'9月'!R1C1" xr:uid="{CAC02192-6E9D-42CB-8C8D-14317C6F45E5}"/>
    <hyperlink ref="G2" location="'9月'!R1C1" tooltip="选择以导航到 9 月" display="'9月'!R1C1" xr:uid="{C960DF60-9157-496F-B9C7-AF2B68CF5F95}"/>
    <hyperlink ref="F2" location="'9月'!R1C1" tooltip="选择以导航到 9 月" display="'9月'!R1C1" xr:uid="{935F2D1F-A46D-4FFB-AEFB-9AEDDE2803A5}"/>
    <hyperlink ref="E2" location="'9月'!R1C1" tooltip="选择以导航到 9 月" display="'9月'!R1C1" xr:uid="{44513794-FC17-4B8E-B730-D0748D7B1C6E}"/>
    <hyperlink ref="D2" location="'9月'!R1C1" tooltip="选择以导航到 9 月" display="'9月'!R1C1" xr:uid="{9163EFD5-58D4-4644-B5E6-98AFF0704D24}"/>
    <hyperlink ref="B2" location="'9月'!R1C1" tooltip="选择以导航到 9 月" display="'9月'!R1C1" xr:uid="{050AF20D-85C8-4240-B044-2BFE1F3F256D}"/>
    <hyperlink ref="C2" location="'9月'!R1C1" tooltip="选择以导航到 9 月" display="'9月'!R1C1" xr:uid="{6E5627A3-7C5D-4D85-8881-E6D1C206935B}"/>
  </hyperlinks>
  <printOptions horizontalCentered="1"/>
  <pageMargins left="0.32" right="0.25" top="0.75" bottom="0.75" header="0.3" footer="0.3"/>
  <pageSetup paperSize="9" scale="41" orientation="landscape" r:id="rId1"/>
  <headerFooter differentFirst="1">
    <oddFooter>Page &amp;P of &amp;N</oddFooter>
  </headerFooter>
  <drawing r:id="rId2"/>
  <legacy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BE4999-4BA9-46FC-B8C7-055086EE9EE2}">
            <x14:dataBar minLength="0" maxLength="100" gradient="0">
              <x14:cfvo type="autoMin"/>
              <x14:cfvo type="num">
                <xm:f>$M$14</xm:f>
              </x14:cfvo>
              <x14:negativeFillColor rgb="FFFF0000"/>
              <x14:axisColor rgb="FF000000"/>
            </x14:dataBar>
          </x14:cfRule>
          <xm:sqref>C5:C13</xm:sqref>
        </x14:conditionalFormatting>
        <x14:conditionalFormatting xmlns:xm="http://schemas.microsoft.com/office/excel/2006/main">
          <x14:cfRule type="dataBar" id="{FD1EEE45-47EF-4315-89AC-8ACF096CB2D9}">
            <x14:dataBar minLength="0" maxLength="100" gradient="0">
              <x14:cfvo type="autoMin"/>
              <x14:cfvo type="num">
                <xm:f>$M$14</xm:f>
              </x14:cfvo>
              <x14:negativeFillColor rgb="FFFF0000"/>
              <x14:axisColor rgb="FF000000"/>
            </x14:dataBar>
          </x14:cfRule>
          <xm:sqref>M5:M13</xm:sqref>
        </x14:conditionalFormatting>
        <x14:conditionalFormatting xmlns:xm="http://schemas.microsoft.com/office/excel/2006/main">
          <x14:cfRule type="dataBar" id="{0CDCAF61-18AC-4E95-93F0-344120FC7FC4}">
            <x14:dataBar minLength="0" maxLength="100" gradient="0" direction="rightToLef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Q5:Q13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last="1" negative="1" xr2:uid="{00000000-0003-0000-0100-000000000000}">
          <x14:colorSeries theme="4" tint="-0.499984740745262"/>
          <x14:colorNegative theme="6" tint="-0.499984740745262"/>
          <x14:colorAxis rgb="FF000000"/>
          <x14:colorMarkers theme="7" tint="-0.249977111117893"/>
          <x14:colorFirst theme="5" tint="-0.249977111117893"/>
          <x14:colorLast theme="7" tint="-0.499984740745262"/>
          <x14:colorHigh theme="5" tint="-0.249977111117893"/>
          <x14:colorLow theme="5" tint="-0.249977111117893"/>
          <x14:sparklines>
            <x14:sparkline>
              <xm:f>总资产摘要!B5:M5</xm:f>
              <xm:sqref>P5</xm:sqref>
            </x14:sparkline>
            <x14:sparkline>
              <xm:f>总资产摘要!B6:M6</xm:f>
              <xm:sqref>P6</xm:sqref>
            </x14:sparkline>
            <x14:sparkline>
              <xm:f>总资产摘要!B7:M7</xm:f>
              <xm:sqref>P7</xm:sqref>
            </x14:sparkline>
            <x14:sparkline>
              <xm:f>总资产摘要!B8:M8</xm:f>
              <xm:sqref>P8</xm:sqref>
            </x14:sparkline>
            <x14:sparkline>
              <xm:f>总资产摘要!B9:M9</xm:f>
              <xm:sqref>P9</xm:sqref>
            </x14:sparkline>
            <x14:sparkline>
              <xm:f>总资产摘要!B10:M10</xm:f>
              <xm:sqref>P10</xm:sqref>
            </x14:sparkline>
            <x14:sparkline>
              <xm:f>总资产摘要!B11:M11</xm:f>
              <xm:sqref>P11</xm:sqref>
            </x14:sparkline>
            <x14:sparkline>
              <xm:f>总资产摘要!B12:M12</xm:f>
              <xm:sqref>P12</xm:sqref>
            </x14:sparkline>
            <x14:sparkline>
              <xm:f>总资产摘要!B13:M13</xm:f>
              <xm:sqref>P13</xm:sqref>
            </x14:sparkline>
          </x14:sparklines>
        </x14:sparklineGroup>
        <x14:sparklineGroup manualMax="0" manualMin="0" displayEmptyCellsAs="gap" markers="1" last="1" negative="1" xr2:uid="{1AE4970F-593A-45C6-81EF-F27EAF2C7C6B}">
          <x14:colorSeries theme="0" tint="-0.499984740745262"/>
          <x14:colorNegative theme="6" tint="-0.499984740745262"/>
          <x14:colorAxis rgb="FF000000"/>
          <x14:colorMarkers theme="7" tint="-0.249977111117893"/>
          <x14:colorFirst theme="5" tint="-0.249977111117893"/>
          <x14:colorLast theme="7" tint="-0.499984740745262"/>
          <x14:colorHigh theme="5" tint="-0.249977111117893"/>
          <x14:colorLow theme="5" tint="-0.249977111117893"/>
          <x14:sparklines>
            <x14:sparkline>
              <xm:sqref>P28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3B6BD-73F1-47AE-8C2C-7AD3DB1B6892}">
  <sheetPr>
    <tabColor rgb="FFFF0000"/>
    <pageSetUpPr autoPageBreaks="0" fitToPage="1"/>
  </sheetPr>
  <dimension ref="A1:Z54"/>
  <sheetViews>
    <sheetView showGridLines="0" tabSelected="1" zoomScale="70" zoomScaleNormal="70" zoomScaleSheetLayoutView="70" workbookViewId="0">
      <pane xSplit="1" topLeftCell="B1" activePane="topRight" state="frozen"/>
      <selection activeCell="A3" sqref="A3"/>
      <selection pane="topRight" activeCell="A35" sqref="A35"/>
    </sheetView>
  </sheetViews>
  <sheetFormatPr defaultColWidth="9.14453125" defaultRowHeight="30" customHeight="1" outlineLevelCol="2"/>
  <cols>
    <col min="1" max="1" width="23.40625" style="67" customWidth="1"/>
    <col min="2" max="2" width="20.04296875" style="1" customWidth="1" outlineLevel="1"/>
    <col min="3" max="3" width="24.48046875" style="1" customWidth="1" outlineLevel="1"/>
    <col min="4" max="4" width="21.92578125" style="1" customWidth="1"/>
    <col min="5" max="5" width="25.15234375" style="1" customWidth="1" outlineLevel="1"/>
    <col min="6" max="6" width="15.73828125" style="1" customWidth="1" outlineLevel="1"/>
    <col min="7" max="7" width="15.73828125" style="1" customWidth="1"/>
    <col min="8" max="8" width="19.234375" style="1" customWidth="1" outlineLevel="2"/>
    <col min="9" max="9" width="18.96484375" style="1" customWidth="1" outlineLevel="2"/>
    <col min="10" max="10" width="20.71484375" style="1" customWidth="1" outlineLevel="1"/>
    <col min="11" max="11" width="20.4453125" style="1" customWidth="1" outlineLevel="1"/>
    <col min="12" max="12" width="19.50390625" style="1" customWidth="1" outlineLevel="1"/>
    <col min="13" max="13" width="21.38671875" style="1" customWidth="1"/>
    <col min="14" max="15" width="22.8671875" style="1" customWidth="1"/>
    <col min="16" max="16" width="30.40234375" style="1" customWidth="1"/>
    <col min="17" max="17" width="12.64453125" style="1" customWidth="1"/>
    <col min="18" max="18" width="12.5078125" style="1" customWidth="1"/>
    <col min="19" max="19" width="11.43359375" style="1" customWidth="1"/>
    <col min="20" max="20" width="23.26953125" style="1" bestFit="1" customWidth="1"/>
    <col min="21" max="21" width="23.40625" style="1" bestFit="1" customWidth="1"/>
    <col min="22" max="22" width="19.1015625" style="1" bestFit="1" customWidth="1"/>
    <col min="23" max="23" width="18.5625" style="1" customWidth="1"/>
    <col min="24" max="16384" width="9.14453125" style="1"/>
  </cols>
  <sheetData>
    <row r="1" spans="1:26" ht="19.149999999999999" customHeight="1">
      <c r="A1" s="72" t="s">
        <v>134</v>
      </c>
      <c r="B1" s="165" t="s">
        <v>72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O1" s="35"/>
      <c r="P1" s="35"/>
      <c r="Q1" s="32"/>
    </row>
    <row r="2" spans="1:26" ht="16.899999999999999" customHeight="1">
      <c r="B2" s="45">
        <f>DATE(2026,1,30)</f>
        <v>46052</v>
      </c>
      <c r="C2" s="45">
        <f>DATE(2026,2,28)</f>
        <v>46081</v>
      </c>
      <c r="D2" s="45">
        <f>DATE(2026,3,30)</f>
        <v>46111</v>
      </c>
      <c r="E2" s="45">
        <f>DATE(2026,4,30)</f>
        <v>46142</v>
      </c>
      <c r="F2" s="45">
        <f>总资产摘要!F2</f>
        <v>45792</v>
      </c>
      <c r="G2" s="45">
        <f>总资产摘要!G2</f>
        <v>45823</v>
      </c>
      <c r="H2" s="45">
        <f>总资产摘要!H2</f>
        <v>45853</v>
      </c>
      <c r="I2" s="45">
        <f>总资产摘要!I2</f>
        <v>45884</v>
      </c>
      <c r="J2" s="45">
        <f>总资产摘要!J2</f>
        <v>45915</v>
      </c>
      <c r="K2" s="45">
        <f>总资产摘要!K2</f>
        <v>45945</v>
      </c>
      <c r="L2" s="45">
        <f>总资产摘要!L2</f>
        <v>45975</v>
      </c>
      <c r="M2" s="45">
        <f>总资产摘要!M2</f>
        <v>46006</v>
      </c>
      <c r="N2" s="11" t="s">
        <v>30</v>
      </c>
      <c r="Q2" s="32"/>
      <c r="R2" s="32"/>
    </row>
    <row r="3" spans="1:26" ht="260.45" customHeight="1" thickBot="1"/>
    <row r="4" spans="1:26" ht="17.100000000000001" customHeight="1">
      <c r="A4" s="68" t="s">
        <v>122</v>
      </c>
      <c r="B4" s="54" t="s">
        <v>79</v>
      </c>
      <c r="C4" s="55" t="s">
        <v>80</v>
      </c>
      <c r="D4" s="55" t="s">
        <v>81</v>
      </c>
      <c r="E4" s="55" t="s">
        <v>82</v>
      </c>
      <c r="F4" s="55" t="s">
        <v>83</v>
      </c>
      <c r="G4" s="55" t="s">
        <v>84</v>
      </c>
      <c r="H4" s="55" t="s">
        <v>73</v>
      </c>
      <c r="I4" s="55" t="s">
        <v>74</v>
      </c>
      <c r="J4" s="55" t="s">
        <v>75</v>
      </c>
      <c r="K4" s="55" t="s">
        <v>76</v>
      </c>
      <c r="L4" s="55" t="s">
        <v>77</v>
      </c>
      <c r="M4" s="55" t="s">
        <v>78</v>
      </c>
      <c r="N4" s="55" t="s">
        <v>151</v>
      </c>
      <c r="O4" s="74" t="s">
        <v>68</v>
      </c>
      <c r="P4" s="47" t="s">
        <v>7</v>
      </c>
      <c r="Q4" s="1" t="s">
        <v>49</v>
      </c>
      <c r="R4" s="1" t="s">
        <v>54</v>
      </c>
      <c r="S4" s="1" t="s">
        <v>55</v>
      </c>
      <c r="T4" s="1" t="s">
        <v>56</v>
      </c>
    </row>
    <row r="5" spans="1:26" ht="30" customHeight="1">
      <c r="A5" s="75" t="s">
        <v>136</v>
      </c>
      <c r="B5" s="60">
        <f>SUMIFS(ExpJan投资组合[金额],ExpJan投资组合[分类],投资收益表[[#This Row],[投资分类]])</f>
        <v>1789.74</v>
      </c>
      <c r="C5" s="60">
        <f>SUMIFS(ExpFeb投资组合[金额],ExpFeb投资组合[分类],投资收益表[[#This Row],[投资分类]])</f>
        <v>682.66</v>
      </c>
      <c r="D5" s="60">
        <f>SUMIFS(ExpMar投资组合[金额],ExpMar投资组合[分类],投资收益表[[#This Row],[投资分类]])</f>
        <v>-558.57000000000005</v>
      </c>
      <c r="E5" s="61">
        <f>SUMIFS(ExpApr投资组合[金额],ExpApr投资组合[分类],投资收益表[[#This Row],[投资分类]])</f>
        <v>1059.07</v>
      </c>
      <c r="F5" s="61">
        <f>SUMIFS(ExpMay投资组合[金额],ExpMay投资组合[分类],投资收益表[[#This Row],[投资分类]])</f>
        <v>388.65</v>
      </c>
      <c r="G5" s="61">
        <f>SUMIFS(ExpJun投资组合[金额],ExpJun投资组合[分类],投资收益表[[#This Row],[投资分类]])</f>
        <v>626.84</v>
      </c>
      <c r="H5" s="61">
        <f>SUMIFS(ExpJul投资组合[金额],ExpJul投资组合[分类],投资收益表[[#This Row],[投资分类]])</f>
        <v>172.98</v>
      </c>
      <c r="I5" s="62">
        <f>SUMIFS(ExpAug投资组合[金额],ExpAug投资组合[分类],投资收益表[[#This Row],[投资分类]])</f>
        <v>-59.03</v>
      </c>
      <c r="J5" s="62">
        <f>SUMIFS(ExpSep投资组合[金额],ExpSep投资组合[分类],投资收益表[[#This Row],[投资分类]])</f>
        <v>-167.04</v>
      </c>
      <c r="K5" s="62">
        <f>SUMIFS(ExpOct投资组合[金额],ExpOct投资组合[分类],投资收益表[[#This Row],[投资分类]])</f>
        <v>1083.94</v>
      </c>
      <c r="L5" s="62">
        <f>SUMIFS(ExpNov投资组合[金额],ExpNov投资组合[分类],投资收益表[[#This Row],[投资分类]])</f>
        <v>-841</v>
      </c>
      <c r="M5" s="62">
        <f>SUMIFS(ExpDec投资组合[金额],ExpDec投资组合[分类],投资收益表[[#This Row],[投资分类]])</f>
        <v>9.07</v>
      </c>
      <c r="N5" s="53">
        <f>SUBTOTAL(9,投资收益表[[#This Row],[1月]:[12月]])</f>
        <v>4187.3099999999995</v>
      </c>
      <c r="O5" s="149" cm="1">
        <f t="array" aca="1" ref="O5" ca="1">IFERROR(
    IF(
        INDEX(B5:M5, MONTH(TODAY())) = 0,
        INDEX(B5:M5, IF(MONTH(TODAY())=1, 12, MONTH(TODAY())-1)) -
        INDEX(B5:M5, IF(MONTH(TODAY())=1, 11, MONTH(TODAY())-2)),
        INDEX(B5:M5, MONTH(TODAY())) -
        INDEX(B5:M5, IF(MONTH(TODAY())=1, 12, MONTH(TODAY())-1))
    ),
    ""
)/
IFERROR(
    IF(
        INDEX(B5:M5, MONTH(TODAY())) = 0,
        INDEX(B5:M5,MONTH(TODAY())-1),
        INDEX(B5:M5,MONTH(TODAY()))    ),
    ""
)</f>
        <v>-1.7249967837385822</v>
      </c>
      <c r="P5" s="49"/>
      <c r="Q5" s="78">
        <f ca="1">INDEX(投资收益表[#This Row], MATCH(TEXT(TODAY(),"m") &amp; "月", 投资收益表[#Headers], 0))/INDEX(投资收益表[#Totals], MATCH(TEXT(TODAY(),"m") &amp; "月", 投资收益表[#Headers], 0))</f>
        <v>0.18003057254030017</v>
      </c>
      <c r="R5" s="16" t="str">
        <f ca="1">IF(AND(投资收益表[[#This Row],[占比]]&gt;=投资收益表[[#This Row],[判定下限]], 投资收益表[[#This Row],[占比]]&lt;=投资收益表[[#This Row],[判定上限]]),"合理","不合理")</f>
        <v>不合理</v>
      </c>
      <c r="S5" s="24">
        <v>0</v>
      </c>
      <c r="T5" s="24">
        <v>0.05</v>
      </c>
    </row>
    <row r="6" spans="1:26" ht="30" customHeight="1">
      <c r="A6" s="75" t="s">
        <v>138</v>
      </c>
      <c r="B6" s="60">
        <f>SUMIFS(ExpJan投资组合[金额],ExpJan投资组合[分类],投资收益表[[#This Row],[投资分类]])</f>
        <v>4060.96</v>
      </c>
      <c r="C6" s="60">
        <f>SUMIFS(ExpFeb投资组合[金额],ExpFeb投资组合[分类],投资收益表[[#This Row],[投资分类]])</f>
        <v>367.93</v>
      </c>
      <c r="D6" s="60">
        <f>SUMIFS(ExpMar投资组合[金额],ExpMar投资组合[分类],投资收益表[[#This Row],[投资分类]])</f>
        <v>-1445.84</v>
      </c>
      <c r="E6" s="61">
        <f>SUMIFS(ExpApr投资组合[金额],ExpApr投资组合[分类],投资收益表[[#This Row],[投资分类]])</f>
        <v>2811.09</v>
      </c>
      <c r="F6" s="61">
        <f>SUMIFS(ExpMay投资组合[金额],ExpMay投资组合[分类],投资收益表[[#This Row],[投资分类]])</f>
        <v>1088.01</v>
      </c>
      <c r="G6" s="61">
        <f>SUMIFS(ExpJun投资组合[金额],ExpJun投资组合[分类],投资收益表[[#This Row],[投资分类]])</f>
        <v>210.78</v>
      </c>
      <c r="H6" s="61">
        <f>SUMIFS(ExpJul投资组合[金额],ExpJul投资组合[分类],投资收益表[[#This Row],[投资分类]])</f>
        <v>78.739999999999995</v>
      </c>
      <c r="I6" s="62">
        <f>SUMIFS(ExpAug投资组合[金额],ExpAug投资组合[分类],投资收益表[[#This Row],[投资分类]])</f>
        <v>631.32000000000005</v>
      </c>
      <c r="J6" s="62">
        <f>SUMIFS(ExpSep投资组合[金额],ExpSep投资组合[分类],投资收益表[[#This Row],[投资分类]])</f>
        <v>393.22</v>
      </c>
      <c r="K6" s="62">
        <f>SUMIFS(ExpOct投资组合[金额],ExpOct投资组合[分类],投资收益表[[#This Row],[投资分类]])</f>
        <v>1154.26</v>
      </c>
      <c r="L6" s="62">
        <f>SUMIFS(ExpNov投资组合[金额],ExpNov投资组合[分类],投资收益表[[#This Row],[投资分类]])</f>
        <v>1667.26</v>
      </c>
      <c r="M6" s="62">
        <f>SUMIFS(ExpDec投资组合[金额],ExpDec投资组合[分类],投资收益表[[#This Row],[投资分类]])</f>
        <v>219.6</v>
      </c>
      <c r="N6" s="53">
        <f>SUBTOTAL(9,投资收益表[[#This Row],[1月]:[12月]])</f>
        <v>11237.33</v>
      </c>
      <c r="O6" s="149" cm="1">
        <f t="array" aca="1" ref="O6" ca="1">IFERROR(
    IF(
        INDEX(B6:M6, MONTH(TODAY())) = 0,
        INDEX(B6:M6, IF(MONTH(TODAY())=1, 12, MONTH(TODAY())-1)) -
        INDEX(B6:M6, IF(MONTH(TODAY())=1, 11, MONTH(TODAY())-2)),
        INDEX(B6:M6, MONTH(TODAY())) -
        INDEX(B6:M6, IF(MONTH(TODAY())=1, 12, MONTH(TODAY())-1))
    ),
    ""
)/
IFERROR(
    IF(
        INDEX(B6:M6, MONTH(TODAY())) = 0,
        INDEX(B6:M6,MONTH(TODAY())-1),
        INDEX(B6:M6,MONTH(TODAY()))    ),
    ""
)</f>
        <v>-1.5836986792400807</v>
      </c>
      <c r="P6" s="49"/>
      <c r="Q6" s="78">
        <f ca="1">INDEX(投资收益表[#This Row], MATCH(TEXT(TODAY(),"m") &amp; "月", 投资收益表[#Headers], 0))/INDEX(投资收益表[#Totals], MATCH(TEXT(TODAY(),"m") &amp; "月", 投资收益表[#Headers], 0))</f>
        <v>0.50398832684824912</v>
      </c>
      <c r="R6" s="16" t="str">
        <f ca="1">IF(AND(投资收益表[[#This Row],[占比]]&gt;=投资收益表[[#This Row],[判定下限]], 投资收益表[[#This Row],[占比]]&lt;=投资收益表[[#This Row],[判定上限]]),"合理","不合理")</f>
        <v>不合理</v>
      </c>
      <c r="S6" s="24">
        <v>0.6</v>
      </c>
      <c r="T6" s="24">
        <v>0.8</v>
      </c>
      <c r="W6" s="31" t="s">
        <v>96</v>
      </c>
      <c r="X6" s="31" t="s">
        <v>97</v>
      </c>
      <c r="Y6" s="31" t="s">
        <v>98</v>
      </c>
      <c r="Z6" s="1" t="s">
        <v>99</v>
      </c>
    </row>
    <row r="7" spans="1:26" ht="30" hidden="1" customHeight="1">
      <c r="A7" s="75" t="s">
        <v>87</v>
      </c>
      <c r="B7" s="60">
        <f ca="1">SUMIFS(ExpJan投资组合[金额],ExpJan投资组合[分类],投资收益表[[#This Row],[投资分类]])</f>
        <v>7.1264000000000008E-2</v>
      </c>
      <c r="C7" s="60">
        <f ca="1">SUMIFS(ExpFeb投资组合[金额],ExpFeb投资组合[分类],投资收益表[[#This Row],[投资分类]])</f>
        <v>7.1264000000000008E-2</v>
      </c>
      <c r="D7" s="60">
        <f ca="1">SUMIFS(ExpMar投资组合[金额],ExpMar投资组合[分类],投资收益表[[#This Row],[投资分类]])</f>
        <v>7.1264000000000008E-2</v>
      </c>
      <c r="E7" s="61">
        <f ca="1">SUMIFS(ExpApr投资组合[金额],ExpApr投资组合[分类],投资收益表[[#This Row],[投资分类]])</f>
        <v>7.1264000000000008E-2</v>
      </c>
      <c r="F7" s="61">
        <f ca="1">SUMIFS(ExpMay投资组合[金额],ExpMay投资组合[分类],投资收益表[[#This Row],[投资分类]])</f>
        <v>7.1264000000000008E-2</v>
      </c>
      <c r="G7" s="61">
        <f ca="1">SUMIFS(ExpJun投资组合[金额],ExpJun投资组合[分类],投资收益表[[#This Row],[投资分类]])</f>
        <v>7.1264000000000008E-2</v>
      </c>
      <c r="H7" s="61">
        <f ca="1">SUMIFS(ExpJul投资组合[金额],ExpJul投资组合[分类],投资收益表[[#This Row],[投资分类]])</f>
        <v>7.1264000000000008E-2</v>
      </c>
      <c r="I7" s="62">
        <f ca="1">SUMIFS(ExpAug投资组合[金额],ExpAug投资组合[分类],投资收益表[[#This Row],[投资分类]])</f>
        <v>7.1264000000000008E-2</v>
      </c>
      <c r="J7" s="62">
        <f ca="1">SUMIFS(ExpSep投资组合[金额],ExpSep投资组合[分类],投资收益表[[#This Row],[投资分类]])</f>
        <v>7.1264000000000008E-2</v>
      </c>
      <c r="K7" s="62">
        <f ca="1">SUMIFS(ExpOct投资组合[金额],ExpOct投资组合[分类],投资收益表[[#This Row],[投资分类]])</f>
        <v>7.1264000000000008E-2</v>
      </c>
      <c r="L7" s="62">
        <f ca="1">SUMIFS(ExpNov投资组合[金额],ExpNov投资组合[分类],投资收益表[[#This Row],[投资分类]])</f>
        <v>7.1264000000000008E-2</v>
      </c>
      <c r="M7" s="62">
        <f>SUMIFS(ExpDec投资组合[金额],ExpDec投资组合[分类],投资收益表[[#This Row],[投资分类]])</f>
        <v>0</v>
      </c>
      <c r="N7" s="53" cm="1">
        <f t="array" aca="1" ref="N7" ca="1">IFERROR(
    IF(
        INDEX(B7:M7, MONTH(TODAY())) = 0,
        INDEX(B7:M7, IF(MONTH(TODAY())=1, 12, MONTH(TODAY())-1)) -
        INDEX(B7:M7, IF(MONTH(TODAY())=1, 11, MONTH(TODAY())-2)),
        INDEX(B7:M7, MONTH(TODAY())) -
        INDEX(B7:M7, IF(MONTH(TODAY())=1, 12, MONTH(TODAY())-1))
    ),
    ""
)</f>
        <v>0</v>
      </c>
      <c r="O7" s="48" cm="1">
        <f t="array" aca="1" ref="O7" ca="1">IFERROR(
    IF(
        INDEX(B7:M7, MONTH(TODAY())) = 0,
        INDEX(B7:M7, IF(MONTH(TODAY())=1, 12, MONTH(TODAY())-1)) -
        INDEX(B7:M7, IF(MONTH(TODAY())=1, 11, MONTH(TODAY())-2)),
        INDEX(B7:M7, MONTH(TODAY())) -
        INDEX(B7:M7, IF(MONTH(TODAY())=1, 12, MONTH(TODAY())-1))
    ),
    ""
)/
IFERROR(
    IF(
        INDEX(B7:M7, MONTH(TODAY())) = 0,
        INDEX(B7:M7,MONTH(TODAY())-1),
        INDEX(B7:M7,MONTH(TODAY()))    ),
    ""
)</f>
        <v>0</v>
      </c>
      <c r="P7" s="49"/>
      <c r="Q7" s="78">
        <f ca="1">INDEX(投资收益表[#This Row], MATCH(TEXT(TODAY(),"m") &amp; "月", 投资收益表[#Headers], 0))/INDEX(投资收益表[#Totals], MATCH(TEXT(TODAY(),"m") &amp; "月", 投资收益表[#Headers], 0))</f>
        <v>3.3010931999258853E-5</v>
      </c>
      <c r="R7" s="16" t="str">
        <f ca="1">IF(AND(投资收益表[[#This Row],[占比]]&gt;=投资收益表[[#This Row],[判定下限]], 投资收益表[[#This Row],[占比]]&lt;=投资收益表[[#This Row],[判定上限]]),"合理","不合理")</f>
        <v>合理</v>
      </c>
      <c r="S7" s="24">
        <v>0</v>
      </c>
      <c r="T7" s="24">
        <v>7.0000000000000007E-2</v>
      </c>
      <c r="W7">
        <v>2500</v>
      </c>
      <c r="X7">
        <f>表11[[#This Row],[每月消费]]*12</f>
        <v>30000</v>
      </c>
      <c r="Y7" s="37">
        <v>7.0000000000000007E-2</v>
      </c>
      <c r="Z7" s="1">
        <f>表11[[#This Row],[每年消费]]/表11[[#This Row],[被动收入 年化收益率]]</f>
        <v>428571.42857142852</v>
      </c>
    </row>
    <row r="8" spans="1:26" ht="30" customHeight="1">
      <c r="A8" s="81" t="s">
        <v>140</v>
      </c>
      <c r="B8" s="60">
        <f>SUMIFS(ExpJan投资组合[金额],ExpJan投资组合[分类],投资收益表[[#This Row],[投资分类]])</f>
        <v>1661.3</v>
      </c>
      <c r="C8" s="60">
        <f>SUMIFS(ExpFeb投资组合[金额],ExpFeb投资组合[分类],投资收益表[[#This Row],[投资分类]])</f>
        <v>921.04</v>
      </c>
      <c r="D8" s="60">
        <f>SUMIFS(ExpMar投资组合[金额],ExpMar投资组合[分类],投资收益表[[#This Row],[投资分类]])</f>
        <v>-1154.6600000000001</v>
      </c>
      <c r="E8" s="61">
        <f>SUMIFS(ExpApr投资组合[金额],ExpApr投资组合[分类],投资收益表[[#This Row],[投资分类]])</f>
        <v>1325.68</v>
      </c>
      <c r="F8" s="61">
        <f>SUMIFS(ExpMay投资组合[金额],ExpMay投资组合[分类],投资收益表[[#This Row],[投资分类]])</f>
        <v>682.14</v>
      </c>
      <c r="G8" s="61">
        <f>SUMIFS(ExpJun投资组合[金额],ExpJun投资组合[分类],投资收益表[[#This Row],[投资分类]])</f>
        <v>1217.79</v>
      </c>
      <c r="H8" s="61">
        <f>SUMIFS(ExpJul投资组合[金额],ExpJul投资组合[分类],投资收益表[[#This Row],[投资分类]])</f>
        <v>511.63</v>
      </c>
      <c r="I8" s="62">
        <f>SUMIFS(ExpAug投资组合[金额],ExpAug投资组合[分类],投资收益表[[#This Row],[投资分类]])</f>
        <v>709.94</v>
      </c>
      <c r="J8" s="62">
        <f>SUMIFS(ExpSep投资组合[金额],ExpSep投资组合[分类],投资收益表[[#This Row],[投资分类]])</f>
        <v>290.64</v>
      </c>
      <c r="K8" s="62">
        <f>SUMIFS(ExpOct投资组合[金额],ExpOct投资组合[分类],投资收益表[[#This Row],[投资分类]])</f>
        <v>603.16999999999996</v>
      </c>
      <c r="L8" s="62">
        <f>SUMIFS(ExpNov投资组合[金额],ExpNov投资组合[分类],投资收益表[[#This Row],[投资分类]])</f>
        <v>-91.75</v>
      </c>
      <c r="M8" s="62">
        <f>SUMIFS(ExpDec投资组合[金额],ExpDec投资组合[分类],投资收益表[[#This Row],[投资分类]])</f>
        <v>289.77</v>
      </c>
      <c r="N8" s="53">
        <f>SUBTOTAL(9,投资收益表[[#This Row],[1月]:[12月]])</f>
        <v>6966.6900000000005</v>
      </c>
      <c r="O8" s="149" cm="1">
        <f t="array" aca="1" ref="O8" ca="1">IFERROR(
    IF(
        INDEX(B8:M8, MONTH(TODAY())) = 0,
        INDEX(B8:M8, IF(MONTH(TODAY())=1, 12, MONTH(TODAY())-1)) -
        INDEX(B8:M8, IF(MONTH(TODAY())=1, 11, MONTH(TODAY())-2)),
        INDEX(B8:M8, MONTH(TODAY())) -
        INDEX(B8:M8, IF(MONTH(TODAY())=1, 12, MONTH(TODAY())-1))
    ),
    ""
)/
IFERROR(
    IF(
        INDEX(B8:M8, MONTH(TODAY())) = 0,
        INDEX(B8:M8,MONTH(TODAY())-1),
        INDEX(B8:M8,MONTH(TODAY()))    ),
    ""
)</f>
        <v>-0.94341337555340554</v>
      </c>
      <c r="P8" s="49"/>
      <c r="Q8" s="78">
        <f ca="1">INDEX(投资收益表[#This Row], MATCH(TEXT(TODAY(),"m") &amp; "月", 投资收益表[#Headers], 0))/INDEX(投资收益表[#Totals], MATCH(TEXT(TODAY(),"m") &amp; "月", 投资收益表[#Headers], 0))</f>
        <v>0.31598110061145085</v>
      </c>
      <c r="R8" s="16" t="str">
        <f ca="1">IF(AND(投资收益表[[#This Row],[占比]]&gt;=投资收益表[[#This Row],[判定下限]], 投资收益表[[#This Row],[占比]]&lt;=投资收益表[[#This Row],[判定上限]]),"合理","不合理")</f>
        <v>合理</v>
      </c>
      <c r="S8" s="24">
        <v>0</v>
      </c>
      <c r="T8" s="24">
        <v>0.5</v>
      </c>
      <c r="W8">
        <v>2500</v>
      </c>
      <c r="X8">
        <f>表11[[#This Row],[每月消费]]*12</f>
        <v>30000</v>
      </c>
      <c r="Y8" s="37">
        <v>0.1</v>
      </c>
      <c r="Z8" s="1">
        <f>表11[[#This Row],[每年消费]]/表11[[#This Row],[被动收入 年化收益率]]</f>
        <v>300000</v>
      </c>
    </row>
    <row r="9" spans="1:26" ht="30" hidden="1" customHeight="1">
      <c r="A9" s="81" t="s">
        <v>142</v>
      </c>
      <c r="B9" s="53">
        <f>SUMIFS(ExpJan[金额],ExpJan[分类],投资收益表[[#This Row],[投资分类]])</f>
        <v>0</v>
      </c>
      <c r="C9" s="85">
        <f>SUMIFS(ExpFeb[金额],ExpFeb[分类],投资收益表[[#This Row],[投资分类]])</f>
        <v>0</v>
      </c>
      <c r="D9" s="85">
        <f>SUMIFS(ExpMar[金额],ExpMar[分类],投资收益表[[#This Row],[投资分类]])</f>
        <v>0</v>
      </c>
      <c r="E9" s="86">
        <f>SUMIFS(ExpApr[金额],ExpApr[分类],投资收益表[[#This Row],[投资分类]])</f>
        <v>0</v>
      </c>
      <c r="F9" s="86">
        <f>SUMIFS(ExpMay[金额],ExpMay[分类],投资收益表[[#This Row],[投资分类]])</f>
        <v>0</v>
      </c>
      <c r="G9" s="86">
        <f>SUMIFS(ExpJun[金额],ExpJun[分类],投资收益表[[#This Row],[投资分类]])</f>
        <v>0</v>
      </c>
      <c r="H9" s="86">
        <f>SUMIFS(ExpJul[金额],ExpJul[分类],投资收益表[[#This Row],[投资分类]])</f>
        <v>0</v>
      </c>
      <c r="I9" s="62">
        <f>SUMIFS(ExpAug[金额],ExpAug[分类],投资收益表[[#This Row],[投资分类]])</f>
        <v>0</v>
      </c>
      <c r="J9" s="62">
        <f>SUMIFS(ExpSep[金额],ExpSep[分类],投资收益表[[#This Row],[投资分类]])</f>
        <v>0</v>
      </c>
      <c r="K9" s="62">
        <f>SUMIFS(ExpOct[金额],ExpOct[分类],投资收益表[[#This Row],[投资分类]])</f>
        <v>0</v>
      </c>
      <c r="L9" s="62">
        <f>SUMIFS(ExpNov[金额],ExpNov[分类],投资收益表[[#This Row],[投资分类]])</f>
        <v>0</v>
      </c>
      <c r="M9" s="62">
        <v>1365</v>
      </c>
      <c r="N9" s="53">
        <f>SUBTOTAL(9,投资收益表[[#This Row],[1月]:[12月]])</f>
        <v>0</v>
      </c>
      <c r="O9" s="48" t="e" cm="1">
        <f t="array" aca="1" ref="O9" ca="1">IFERROR(
    IF(
        INDEX(B9:M9, MONTH(TODAY())) = 0,
        INDEX(B9:M9, IF(MONTH(TODAY())=1, 12, MONTH(TODAY())-1)) -
        INDEX(B9:M9, IF(MONTH(TODAY())=1, 11, MONTH(TODAY())-2)),
        INDEX(B9:M9, MONTH(TODAY())) -
        INDEX(B9:M9, IF(MONTH(TODAY())=1, 12, MONTH(TODAY())-1))
    ),
    ""
)/
IFERROR(
    IF(
        INDEX(B9:M9, MONTH(TODAY())) = 0,
        INDEX(B9:M9,MONTH(TODAY())-1),
        INDEX(B9:M9,MONTH(TODAY()))    ),
    ""
)</f>
        <v>#DIV/0!</v>
      </c>
      <c r="P9" s="49"/>
      <c r="Q9" s="78">
        <f ca="1">INDEX(投资收益表[#This Row], MATCH(TEXT(TODAY(),"m") &amp; "月", 投资收益表[#Headers], 0))/INDEX(投资收益表[#Totals], MATCH(TEXT(TODAY(),"m") &amp; "月", 投资收益表[#Headers], 0))</f>
        <v>0</v>
      </c>
      <c r="R9" s="16" t="str">
        <f ca="1">IF(AND(投资收益表[[#This Row],[占比]]&gt;=投资收益表[[#This Row],[判定下限]], 投资收益表[[#This Row],[占比]]&lt;=投资收益表[[#This Row],[判定上限]]),"合理","不合理")</f>
        <v>合理</v>
      </c>
      <c r="S9" s="84"/>
      <c r="T9" s="84"/>
    </row>
    <row r="10" spans="1:26" ht="30" hidden="1" customHeight="1">
      <c r="A10" s="82" t="s">
        <v>94</v>
      </c>
      <c r="B10" s="60">
        <f>SUMIFS(ExpJan[金额],ExpJan[分类],投资收益表[[#This Row],[投资分类]])</f>
        <v>0</v>
      </c>
      <c r="C10" s="60">
        <f ca="1">SUMIFS(ExpFeb[金额],ExpFeb[分类],投资收益表[[#This Row],[投资分类]])</f>
        <v>13037.809167000001</v>
      </c>
      <c r="D10" s="60">
        <f ca="1">SUMIFS(ExpMar[金额],ExpMar[分类],投资收益表[[#This Row],[投资分类]])</f>
        <v>1981.2591669999999</v>
      </c>
      <c r="E10" s="61">
        <f ca="1">SUMIFS(ExpApr[金额],ExpApr[分类],投资收益表[[#This Row],[投资分类]])</f>
        <v>55.029166999999994</v>
      </c>
      <c r="F10" s="61">
        <f ca="1">SUMIFS(ExpMay[金额],ExpMay[分类],投资收益表[[#This Row],[投资分类]])</f>
        <v>63.899166999999998</v>
      </c>
      <c r="G10" s="61">
        <f ca="1">SUMIFS(ExpJun[金额],ExpJun[分类],投资收益表[[#This Row],[投资分类]])</f>
        <v>17757.079999999998</v>
      </c>
      <c r="H10" s="61">
        <f ca="1">SUMIFS(ExpJul[金额],ExpJul[分类],投资收益表[[#This Row],[投资分类]])</f>
        <v>12661.761264000001</v>
      </c>
      <c r="I10" s="62">
        <f ca="1">SUMIFS(ExpAug[金额],ExpAug[分类],投资收益表[[#This Row],[投资分类]])</f>
        <v>10065.269167</v>
      </c>
      <c r="J10" s="62">
        <f>SUMIFS(ExpSep[金额],ExpSep[分类],投资收益表[[#This Row],[投资分类]])</f>
        <v>0</v>
      </c>
      <c r="K10" s="62">
        <f>SUMIFS(ExpOct[金额],ExpOct[分类],投资收益表[[#This Row],[投资分类]])</f>
        <v>0</v>
      </c>
      <c r="L10" s="62">
        <f ca="1">SUMIFS(ExpNov[金额],ExpNov[分类],投资收益表[[#This Row],[投资分类]])</f>
        <v>1.3791669999999998</v>
      </c>
      <c r="M10" s="62">
        <f ca="1">SUMIFS(ExpDec[金额],ExpDec[分类],投资收益表[[#This Row],[投资分类]])</f>
        <v>532.74916699999994</v>
      </c>
      <c r="N10" s="53" cm="1">
        <f t="array" aca="1" ref="N10" ca="1">IFERROR(
    INDEX(B10:M10, MONTH(TODAY())) -
    INDEX(B10:M10, IF(MONTH(TODAY())=1, 12, MONTH(TODAY())-1)),
    "")</f>
        <v>8.8700000000000045</v>
      </c>
      <c r="O10" s="48" cm="1">
        <f t="array" aca="1" ref="O10" ca="1">IFERROR(
    IF(
        INDEX(B10:M10, MONTH(TODAY())) = 0,
        INDEX(B10:M10, IF(MONTH(TODAY())=1, 12, MONTH(TODAY())-1)) -
        INDEX(B10:M10, IF(MONTH(TODAY())=1, 11, MONTH(TODAY())-2)),
        INDEX(B10:M10, MONTH(TODAY())) -
        INDEX(B10:M10, IF(MONTH(TODAY())=1, 12, MONTH(TODAY())-1))
    ),
    ""
)/
IFERROR(
    IF(
        INDEX(B10:M10, MONTH(TODAY())) = 0,
        INDEX(B10:M10,MONTH(TODAY())-1),
        INDEX(B10:M10,MONTH(TODAY()))    ),
    ""
)</f>
        <v>0.13881245118578783</v>
      </c>
      <c r="P10" s="49"/>
      <c r="Q10" s="78">
        <f ca="1">INDEX(投资收益表[#This Row], MATCH(TEXT(TODAY(),"m") &amp; "月", 投资收益表[#Headers], 0))/INDEX(投资收益表[#Totals], MATCH(TEXT(TODAY(),"m") &amp; "月", 投资收益表[#Headers], 0))</f>
        <v>2.9599391791736152E-2</v>
      </c>
      <c r="R10" s="16" t="str">
        <f ca="1">IF(AND(投资收益表[[#This Row],[占比]]&gt;=投资收益表[[#This Row],[判定下限]], 投资收益表[[#This Row],[占比]]&lt;=投资收益表[[#This Row],[判定上限]]),"合理","不合理")</f>
        <v>不合理</v>
      </c>
      <c r="S10" s="84"/>
      <c r="T10" s="84"/>
    </row>
    <row r="11" spans="1:26" ht="30" hidden="1" customHeight="1">
      <c r="A11" s="83" t="s">
        <v>90</v>
      </c>
      <c r="B11" s="60">
        <f>SUMIFS(ExpJan[金额],ExpJan[分类],投资收益表[[#This Row],[投资分类]])</f>
        <v>0</v>
      </c>
      <c r="C11" s="60">
        <f>SUMIFS(ExpFeb[金额],ExpFeb[分类],投资收益表[[#This Row],[投资分类]])</f>
        <v>0</v>
      </c>
      <c r="D11" s="60">
        <f>SUMIFS(ExpMar[金额],ExpMar[分类],投资收益表[[#This Row],[投资分类]])</f>
        <v>0</v>
      </c>
      <c r="E11" s="61">
        <f>SUMIFS(ExpApr[金额],ExpApr[分类],投资收益表[[#This Row],[投资分类]])</f>
        <v>0</v>
      </c>
      <c r="F11" s="61">
        <f>SUMIFS(ExpMay[金额],ExpMay[分类],投资收益表[[#This Row],[投资分类]])</f>
        <v>0</v>
      </c>
      <c r="G11" s="61">
        <f>SUMIFS(ExpJun[金额],ExpJun[分类],投资收益表[[#This Row],[投资分类]])</f>
        <v>0</v>
      </c>
      <c r="H11" s="61">
        <f>SUMIFS(ExpJul[金额],ExpJul[分类],投资收益表[[#This Row],[投资分类]])</f>
        <v>0</v>
      </c>
      <c r="I11" s="62">
        <f>SUMIFS(ExpAug[金额],ExpAug[分类],投资收益表[[#This Row],[投资分类]])</f>
        <v>0</v>
      </c>
      <c r="J11" s="62">
        <f>SUMIFS(ExpSep[金额],ExpSep[分类],投资收益表[[#This Row],[投资分类]])</f>
        <v>0</v>
      </c>
      <c r="K11" s="62">
        <f>SUMIFS(ExpOct[金额],ExpOct[分类],投资收益表[[#This Row],[投资分类]])</f>
        <v>0</v>
      </c>
      <c r="L11" s="62">
        <f>SUMIFS(ExpNov[金额],ExpNov[分类],投资收益表[[#This Row],[投资分类]])</f>
        <v>0</v>
      </c>
      <c r="M11" s="62">
        <f>SUMIFS(ExpDec[金额],ExpDec[分类],投资收益表[[#This Row],[投资分类]])</f>
        <v>0</v>
      </c>
      <c r="N11" s="53" cm="1">
        <f t="array" aca="1" ref="N11" ca="1">IFERROR(
    IF(
        INDEX(B11:M11, MONTH(TODAY())) = 0,
        INDEX(B11:M11, IF(MONTH(TODAY())=1, 12, MONTH(TODAY())-1)) -
        INDEX(B11:M11, IF(MONTH(TODAY())=1, 11, MONTH(TODAY())-2)),
        INDEX(B11:M11, MONTH(TODAY())) -
        INDEX(B11:M11, IF(MONTH(TODAY())=1, 12, MONTH(TODAY())-1))
    ),
    ""
)</f>
        <v>0</v>
      </c>
      <c r="O11" s="48" t="e" cm="1">
        <f t="array" aca="1" ref="O11" ca="1">IFERROR(
    IF(
        INDEX(B11:M11, MONTH(TODAY())) = 0,
        INDEX(B11:M11, IF(MONTH(TODAY())=1, 12, MONTH(TODAY())-1)) -
        INDEX(B11:M11, IF(MONTH(TODAY())=1, 11, MONTH(TODAY())-2)),
        INDEX(B11:M11, MONTH(TODAY())) -
        INDEX(B11:M11, IF(MONTH(TODAY())=1, 12, MONTH(TODAY())-1))
    ),
    ""
)/
IFERROR(
    IF(
        INDEX(B11:M11, MONTH(TODAY())) = 0,
        INDEX(B11:M11,MONTH(TODAY())-1),
        INDEX(B11:M11,MONTH(TODAY()))    ),
    ""
)</f>
        <v>#DIV/0!</v>
      </c>
      <c r="P11" s="49"/>
      <c r="Q11" s="78">
        <f ca="1">INDEX(投资收益表[#This Row], MATCH(TEXT(TODAY(),"m") &amp; "月", 投资收益表[#Headers], 0))/INDEX(投资收益表[#Totals], MATCH(TEXT(TODAY(),"m") &amp; "月", 投资收益表[#Headers], 0))</f>
        <v>0</v>
      </c>
      <c r="R11" s="16" t="str">
        <f ca="1">IF(AND(投资收益表[[#This Row],[占比]]&gt;=投资收益表[[#This Row],[判定下限]], 投资收益表[[#This Row],[占比]]&lt;=投资收益表[[#This Row],[判定上限]]),"合理","不合理")</f>
        <v>合理</v>
      </c>
      <c r="S11" s="24">
        <v>0</v>
      </c>
      <c r="T11" s="24">
        <v>0.1</v>
      </c>
    </row>
    <row r="12" spans="1:26" ht="29.45" customHeight="1">
      <c r="A12" s="66" cm="1">
        <f t="array" ref="A12">IFERROR(
    _xlfn.LET(
        _xlpm.data, B12:M12,
        _xlpm.nonZeroData, IF(_xlpm.data&gt;0, _xlpm.data, ""),
        _xlpm.minVal, MIN(_xlpm.nonZeroData),
        _xlpm.maxVal, MAX(_xlpm.data),
        _xlpm.startPos, MATCH(_xlpm.minVal, _xlpm.nonZeroData, 0),
        _xlpm.endPos, MATCH(_xlpm.maxVal, _xlpm.data, 0),
        _xlpm.startDate, INDEX(B2:M2, _xlpm.startPos),
        _xlpm.endDate, INDEX(B2:M2, _xlpm.endPos),
        IF(_xlpm.endDate &lt; _xlpm.startDate, "",
            (_xlpm.maxVal / _xlpm.minVal) -1
        )
    ),
    ""
)</f>
        <v>13.535041213575324</v>
      </c>
      <c r="B12" s="56">
        <f>SUBTOTAL(109,投资收益表[1月])</f>
        <v>7512</v>
      </c>
      <c r="C12" s="57">
        <f>SUBTOTAL(109,投资收益表[2月])</f>
        <v>1971.6299999999999</v>
      </c>
      <c r="D12" s="57">
        <f>SUBTOTAL(109,投资收益表[3月])</f>
        <v>-3159.0699999999997</v>
      </c>
      <c r="E12" s="57">
        <f>SUBTOTAL(109,投资收益表[4月])</f>
        <v>5195.84</v>
      </c>
      <c r="F12" s="57">
        <f>SUBTOTAL(109,投资收益表[5月])</f>
        <v>2158.7999999999997</v>
      </c>
      <c r="G12" s="57">
        <f>SUBTOTAL(109,投资收益表[6月])</f>
        <v>2055.41</v>
      </c>
      <c r="H12" s="57">
        <f>SUBTOTAL(109,投资收益表[7月])</f>
        <v>763.34999999999991</v>
      </c>
      <c r="I12" s="58">
        <f>SUBTOTAL(109,投资收益表[8月])</f>
        <v>1282.23</v>
      </c>
      <c r="J12" s="58">
        <f>SUBTOTAL(109,投资收益表[9月])</f>
        <v>516.82000000000005</v>
      </c>
      <c r="K12" s="58">
        <f>SUBTOTAL(109,投资收益表[10月])</f>
        <v>2841.37</v>
      </c>
      <c r="L12" s="58">
        <f>SUBTOTAL(109,投资收益表[11月])</f>
        <v>734.51</v>
      </c>
      <c r="M12" s="58">
        <f>SUBTOTAL(109,投资收益表[12月])</f>
        <v>518.43999999999994</v>
      </c>
      <c r="N12" s="151">
        <f>N5+N6+N8+N9</f>
        <v>22391.33</v>
      </c>
      <c r="O12" s="73" cm="1">
        <f t="array" aca="1" ref="O12" ca="1">IFERROR(
    IF(
        INDEX(B12:M12, MONTH(TODAY())) = 0,
        INDEX(B12:M12, IF(MONTH(TODAY())=1, 12, MONTH(TODAY())-1)) -
        INDEX(B12:M12, IF(MONTH(TODAY())=1, 11, MONTH(TODAY())-2)),
        INDEX(B12:M12, MONTH(TODAY())) -
        INDEX(B12:M12, IF(MONTH(TODAY())=1, 12, MONTH(TODAY())-1))
    ),
    ""
)/
IFERROR(
    IF(
        INDEX(B12:M12, MONTH(TODAY())) = 0,
        INDEX(B12:M12,MONTH(TODAY())-1),
        INDEX(B12:M12,MONTH(TODAY()))    ),
    ""
)</f>
        <v>-1.4068186029275527</v>
      </c>
      <c r="P12" s="52" cm="1">
        <f t="array" ref="P12">IFERROR(
    _xlfn.LET(
        _xlpm.data, B12:M12,
        _xlpm.nonZeroData, IF(_xlpm.data&gt;0, _xlpm.data, ""),
        _xlpm.minVal, MIN(_xlpm.nonZeroData),
        _xlpm.maxVal, MAX(_xlpm.data),
        _xlpm.startPos, MATCH(_xlpm.minVal, _xlpm.nonZeroData, 0),
        _xlpm.endPos, MATCH(_xlpm.maxVal, _xlpm.data, 0),
        _xlpm.startDate, INDEX(B2:M2, _xlpm.startPos),
        _xlpm.endDate, INDEX(B2:M2, _xlpm.endPos),
        IF(_xlpm.endDate &lt; _xlpm.startDate, "",
            _xlfn.LET(
                _xlpm.months, DATEDIF(_xlpm.startDate, _xlpm.endDate, "m") +1,
                (_xlpm.maxVal / _xlpm.minVal) ^ (12/_xlpm.months) -1
            )
        )
    ),
    ""
)</f>
        <v>615.30975535388097</v>
      </c>
      <c r="Q12" s="15">
        <f ca="1">SUBTOTAL(109,投资收益表[占比])</f>
        <v>1.0000000000000002</v>
      </c>
      <c r="R12" s="22"/>
      <c r="S12" s="26">
        <f>SUBTOTAL(109,投资收益表[判定下限])</f>
        <v>0.6</v>
      </c>
      <c r="T12" s="25">
        <f>SUBTOTAL(109,投资收益表[判定上限])</f>
        <v>1.35</v>
      </c>
    </row>
    <row r="13" spans="1:26" ht="30" customHeight="1" thickBot="1">
      <c r="A13" s="65" t="s">
        <v>70</v>
      </c>
      <c r="B13" s="59">
        <f>投资收益表[[#Totals],[1月]]/投资收益表[[#Totals],[12月]]-1</f>
        <v>13.489622714296738</v>
      </c>
      <c r="C13" s="59">
        <f>IFERROR(
    _xlfn.LET(
        _xlpm.result, 投资收益表[[#Totals],[2月]]/投资收益表[[#Totals],[1月]]-1,
        IF(OR(_xlpm.result=0, _xlpm.result=-1), 0, _xlpm.result)
    ),
    0
)</f>
        <v>-0.73753594249201282</v>
      </c>
      <c r="D13" s="59">
        <f>IFERROR(
    _xlfn.LET(
        _xlpm.result, 投资收益表[[#Totals],[3月]]/投资收益表[[#Totals],[2月]]-1,
        IF(OR(_xlpm.result=0, _xlpm.result=-1), 0, _xlpm.result)
    ),
    0
)</f>
        <v>-2.6022631021033358</v>
      </c>
      <c r="E13" s="59">
        <f>IFERROR(
    _xlfn.LET(
        _xlpm.result, 投资收益表[[#Totals],[4月]]/投资收益表[[#Totals],[3月]]-1,
        IF(OR(_xlpm.result=0, _xlpm.result=-1), 0, _xlpm.result)
    ),
    0
)</f>
        <v>-2.644737216965753</v>
      </c>
      <c r="F13" s="59">
        <f>IFERROR(
    _xlfn.LET(
        _xlpm.result, 投资收益表[[#Totals],[5月]]/投资收益表[[#Totals],[4月]]-1,
        IF(OR(_xlpm.result=0, _xlpm.result=-1), 0, _xlpm.result)
    ),
    0
)</f>
        <v>-0.5845137648580403</v>
      </c>
      <c r="G13" s="59">
        <f>IFERROR(
    _xlfn.LET(
        _xlpm.result, 投资收益表[[#Totals],[6月]]/投资收益表[[#Totals],[5月]]-1,
        IF(OR(_xlpm.result=0, _xlpm.result=-1), 0, _xlpm.result)
    ),
    0
)</f>
        <v>-4.7892347600518748E-2</v>
      </c>
      <c r="H13" s="59">
        <f>IFERROR(
    _xlfn.LET(
        _xlpm.result, 投资收益表[[#Totals],[7月]]/投资收益表[[#Totals],[6月]]-1,
        IF(OR(_xlpm.result=0, _xlpm.result=-1), 0, _xlpm.result)
    ),
    0
)</f>
        <v>-0.62861424241392228</v>
      </c>
      <c r="I13" s="59">
        <f>IFERROR(
    _xlfn.LET(
        _xlpm.result, 投资收益表[[#Totals],[8月]]/投资收益表[[#Totals],[7月]]-1,
        IF(OR(_xlpm.result=0, _xlpm.result=-1), 0, _xlpm.result)
    ),
    0
)</f>
        <v>0.67974061701709587</v>
      </c>
      <c r="J13" s="59">
        <f>IFERROR(
    _xlfn.LET(
        _xlpm.result, 投资收益表[[#Totals],[9月]]/投资收益表[[#Totals],[8月]]-1,
        IF(OR(_xlpm.result=0, _xlpm.result=-1), 0, _xlpm.result)
    ),
    0
)</f>
        <v>-0.5969365870397666</v>
      </c>
      <c r="K13" s="59">
        <f>IFERROR(
    _xlfn.LET(
        _xlpm.result, 投资收益表[[#Totals],[10月]]/投资收益表[[#Totals],[9月]]-1,
        IF(OR(_xlpm.result=0, _xlpm.result=-1), 0, _xlpm.result)
    ),
    0
)</f>
        <v>4.4977942030107183</v>
      </c>
      <c r="L13" s="59">
        <f>IFERROR(
    _xlfn.LET(
        _xlpm.result, 投资收益表[[#Totals],[11月]]/投资收益表[[#Totals],[10月]]-1,
        IF(OR(_xlpm.result=0, _xlpm.result=-1), 0, _xlpm.result)
    ),
    0
)</f>
        <v>-0.74149441994530807</v>
      </c>
      <c r="M13" s="59">
        <f>IFERROR(
    _xlfn.LET(
        _xlpm.result, 投资收益表[[#Totals],[12月]]/投资收益表[[#Totals],[11月]]-1,
        IF(OR(_xlpm.result=0, _xlpm.result=-1), 0, _xlpm.result)
    ),
    0
)</f>
        <v>-0.29416890171679089</v>
      </c>
      <c r="N13" s="50">
        <f>SUMIF(B13:M13, "&gt;0") / COUNTIF(B13:M13, "&gt;0")</f>
        <v>6.222385844774851</v>
      </c>
      <c r="O13" s="156">
        <f ca="1">投资收益表[[#Totals],[全年统计]]/(AVERAGE(资产摘要[[#Totals],[1月]:[12月]]))</f>
        <v>5.9215481119024665E-2</v>
      </c>
      <c r="P13" s="51"/>
      <c r="Q13" s="15"/>
      <c r="R13" s="22"/>
      <c r="S13" s="26"/>
      <c r="T13" s="25"/>
    </row>
    <row r="15" spans="1:26" ht="30" customHeight="1">
      <c r="B15" s="114" t="s">
        <v>119</v>
      </c>
      <c r="C15" s="115" t="s">
        <v>118</v>
      </c>
      <c r="D15" s="115" t="s">
        <v>121</v>
      </c>
      <c r="E15" s="115" t="s">
        <v>120</v>
      </c>
      <c r="F15" s="116" t="s">
        <v>123</v>
      </c>
      <c r="G15" s="117" t="s">
        <v>104</v>
      </c>
      <c r="H15" s="145" t="s">
        <v>130</v>
      </c>
      <c r="I15" s="115" t="s">
        <v>95</v>
      </c>
      <c r="J15" s="146" t="s">
        <v>108</v>
      </c>
      <c r="K15" s="147" t="s">
        <v>109</v>
      </c>
    </row>
    <row r="16" spans="1:26" ht="30" customHeight="1">
      <c r="B16" s="118" t="str">
        <f>[1]!EM_F_INFO_NAME(C16)</f>
        <v>Refreshing</v>
      </c>
      <c r="C16" s="119" t="s">
        <v>112</v>
      </c>
      <c r="D16" s="120">
        <v>45631</v>
      </c>
      <c r="E16" s="121" t="e">
        <f>([1]!EM_DATECOUNT(D16,$C$23,"CNSESH"))</f>
        <v>#NAME?</v>
      </c>
      <c r="F16" s="136" t="e">
        <f>[1]!EM_F_NQ_NAVCHANGE(基金[[#This Row],[基金代码]],-E16)</f>
        <v>#NAME?</v>
      </c>
      <c r="G16" s="122">
        <v>64765.22</v>
      </c>
      <c r="H16" s="123">
        <v>160</v>
      </c>
      <c r="I16" s="123">
        <v>200</v>
      </c>
      <c r="J16" s="124">
        <f>基金[[#This Row],[账面价值]]/基金[[#Totals],[账面价值]]</f>
        <v>0.95984720748620489</v>
      </c>
      <c r="K16" s="142">
        <v>0.5</v>
      </c>
    </row>
    <row r="17" spans="1:26" ht="30" customHeight="1">
      <c r="B17" s="118" t="str">
        <f>[1]!EM_F_INFO_NAME(C17)</f>
        <v>Refreshing</v>
      </c>
      <c r="C17" s="119" t="s">
        <v>113</v>
      </c>
      <c r="D17" s="120">
        <v>45632</v>
      </c>
      <c r="E17" s="121" t="e">
        <f>([1]!EM_DATECOUNT(D17,$C$23,"CNSESH"))</f>
        <v>#NAME?</v>
      </c>
      <c r="F17" s="136" t="e">
        <f>[1]!EM_F_NQ_NAVCHANGE(基金[[#This Row],[基金代码]],-E17)</f>
        <v>#NAME?</v>
      </c>
      <c r="G17" s="122">
        <v>0</v>
      </c>
      <c r="H17" s="123">
        <v>100</v>
      </c>
      <c r="I17" s="123">
        <f>基金[[#This Row],[每2天定投]]*11</f>
        <v>1100</v>
      </c>
      <c r="J17" s="124">
        <f>基金[[#This Row],[账面价值]]/基金[[#Totals],[账面价值]]</f>
        <v>0</v>
      </c>
      <c r="K17" s="141">
        <v>0.15</v>
      </c>
      <c r="L17" s="167"/>
      <c r="M17" s="167"/>
      <c r="N17" s="167"/>
    </row>
    <row r="18" spans="1:26" ht="30" customHeight="1">
      <c r="B18" s="118" t="str">
        <f>[1]!EM_F_INFO_NAME(C18)</f>
        <v>Refreshing</v>
      </c>
      <c r="C18" s="119" t="s">
        <v>114</v>
      </c>
      <c r="D18" s="120">
        <v>45895</v>
      </c>
      <c r="E18" s="121" t="e">
        <f>([1]!EM_DATECOUNT(D18,$C$23,"CNSESH"))</f>
        <v>#NAME?</v>
      </c>
      <c r="F18" s="136" t="e">
        <f>[1]!EM_F_NQ_NAVCHANGE(基金[[#This Row],[基金代码]],-E18)</f>
        <v>#NAME?</v>
      </c>
      <c r="G18" s="122">
        <v>204.93</v>
      </c>
      <c r="H18" s="123">
        <v>100</v>
      </c>
      <c r="I18" s="123">
        <f>基金[[#This Row],[每2天定投]]*11</f>
        <v>1100</v>
      </c>
      <c r="J18" s="124">
        <f>基金[[#This Row],[账面价值]]/基金[[#Totals],[账面价值]]</f>
        <v>3.0371469166652716E-3</v>
      </c>
      <c r="K18" s="141">
        <v>0.15</v>
      </c>
      <c r="L18" s="167"/>
      <c r="M18" s="167"/>
      <c r="N18" s="167"/>
      <c r="Y18"/>
      <c r="Z18"/>
    </row>
    <row r="19" spans="1:26" ht="30" customHeight="1">
      <c r="B19" s="118" t="str">
        <f>[1]!EM_F_INFO_NAME(C19)</f>
        <v>Refreshing</v>
      </c>
      <c r="C19" s="119" t="s">
        <v>115</v>
      </c>
      <c r="D19" s="120">
        <v>45940</v>
      </c>
      <c r="E19" s="121" t="e">
        <f>([1]!EM_DATECOUNT(D19,$C$23,"CNSESH"))</f>
        <v>#NAME?</v>
      </c>
      <c r="F19" s="136" t="e">
        <f>[1]!EM_F_NQ_NAVCHANGE(基金[[#This Row],[基金代码]],-E19)</f>
        <v>#NAME?</v>
      </c>
      <c r="G19" s="122">
        <v>2405.4699999999998</v>
      </c>
      <c r="H19" s="123">
        <v>100</v>
      </c>
      <c r="I19" s="123">
        <f>基金[[#This Row],[每2天定投]]*11</f>
        <v>1100</v>
      </c>
      <c r="J19" s="124">
        <f>基金[[#This Row],[账面价值]]/基金[[#Totals],[账面价值]]</f>
        <v>3.5650055109699944E-2</v>
      </c>
      <c r="K19" s="141">
        <v>0.15</v>
      </c>
      <c r="L19" s="167"/>
      <c r="M19" s="167"/>
      <c r="N19" s="167"/>
      <c r="Y19"/>
      <c r="Z19"/>
    </row>
    <row r="20" spans="1:26" ht="30" customHeight="1">
      <c r="B20" s="118" t="str">
        <f>[1]!EM_F_INFO_NAME(C20)</f>
        <v>Refreshing</v>
      </c>
      <c r="C20" s="119" t="s">
        <v>116</v>
      </c>
      <c r="D20" s="120">
        <v>45904</v>
      </c>
      <c r="E20" s="121" t="e">
        <f>([1]!EM_DATECOUNT(D20,$C$23,"CNSESH"))</f>
        <v>#NAME?</v>
      </c>
      <c r="F20" s="136" t="e">
        <f>[1]!EM_F_NQ_NAVCHANGE(基金[[#This Row],[基金代码]],-E20)</f>
        <v>#NAME?</v>
      </c>
      <c r="G20" s="122">
        <v>98.89</v>
      </c>
      <c r="H20" s="123">
        <v>26.66</v>
      </c>
      <c r="I20" s="123">
        <f>基金[[#This Row],[每2天定投]]*11</f>
        <v>293.26</v>
      </c>
      <c r="J20" s="124">
        <f>基金[[#This Row],[账面价值]]/基金[[#Totals],[账面价值]]</f>
        <v>1.4655904874299941E-3</v>
      </c>
      <c r="K20" s="141">
        <v>0.05</v>
      </c>
      <c r="L20" s="167"/>
      <c r="M20" s="167"/>
      <c r="N20" s="167"/>
      <c r="Y20"/>
      <c r="Z20"/>
    </row>
    <row r="21" spans="1:26" ht="30" hidden="1" customHeight="1">
      <c r="B21" s="144" t="str">
        <f>[1]!EM_F_INFO_NAME(C21)</f>
        <v>Refreshing</v>
      </c>
      <c r="C21" s="119" t="s">
        <v>111</v>
      </c>
      <c r="D21" s="120">
        <v>45924</v>
      </c>
      <c r="E21" s="121" t="e">
        <f>([1]!EM_DATECOUNT(D21,$C$23,"CNSESH"))</f>
        <v>#NAME?</v>
      </c>
      <c r="F21" s="136" t="e">
        <f>[1]!EM_F_NQ_NAVCHANGE(基金[[#This Row],[基金代码]],-E21)</f>
        <v>#NAME?</v>
      </c>
      <c r="G21" s="122">
        <v>966.87</v>
      </c>
      <c r="H21" s="122">
        <v>0</v>
      </c>
      <c r="I21" s="123">
        <f>基金[[#This Row],[每2天定投]]*11</f>
        <v>0</v>
      </c>
      <c r="J21" s="124">
        <f>基金[[#This Row],[每2天定投]]/基金[[#Totals],[每2天定投]]</f>
        <v>0</v>
      </c>
      <c r="K21" s="142">
        <v>0</v>
      </c>
      <c r="L21" s="167"/>
      <c r="M21" s="167"/>
      <c r="N21" s="167"/>
      <c r="Y21"/>
      <c r="Z21"/>
    </row>
    <row r="22" spans="1:26" ht="30" hidden="1" customHeight="1">
      <c r="B22" s="125" t="str">
        <f>[1]!EM_F_INFO_NAME(C22)</f>
        <v>Refreshing</v>
      </c>
      <c r="C22" s="126" t="s">
        <v>117</v>
      </c>
      <c r="D22" s="120">
        <v>45902</v>
      </c>
      <c r="E22" s="121" t="e">
        <f>([1]!EM_DATECOUNT(D22,$C$23,"CNSESH"))</f>
        <v>#NAME?</v>
      </c>
      <c r="F22" s="136" t="e">
        <f>[1]!EM_F_NQ_NAVCHANGE(基金[[#This Row],[基金代码]],-E22)</f>
        <v>#NAME?</v>
      </c>
      <c r="G22" s="122">
        <v>5270.51</v>
      </c>
      <c r="H22" s="122">
        <v>0.01</v>
      </c>
      <c r="I22" s="123">
        <f>基金[[#This Row],[每2天定投]]*11</f>
        <v>0.11</v>
      </c>
      <c r="J22" s="124">
        <f>基金[[#This Row],[每2天定投]]/基金[[#Totals],[每2天定投]]</f>
        <v>2.0548226688036822E-5</v>
      </c>
      <c r="K22" s="141">
        <v>0</v>
      </c>
      <c r="L22" s="167"/>
      <c r="M22" s="167"/>
      <c r="N22" s="167"/>
      <c r="Y22"/>
      <c r="Z22"/>
    </row>
    <row r="23" spans="1:26" ht="30" customHeight="1">
      <c r="B23" s="127" t="s">
        <v>28</v>
      </c>
      <c r="C23" s="128">
        <f ca="1">TODAY()</f>
        <v>46166</v>
      </c>
      <c r="D23" s="129"/>
      <c r="E23" s="129"/>
      <c r="F23" s="129"/>
      <c r="G23" s="134">
        <f>SUBTOTAL(109,基金[账面价值])</f>
        <v>67474.509999999995</v>
      </c>
      <c r="H23" s="134">
        <f>SUBTOTAL(109,基金[每2天定投])</f>
        <v>486.66</v>
      </c>
      <c r="I23" s="134">
        <f>SUBTOTAL(109,基金[每月平均])</f>
        <v>3793.26</v>
      </c>
      <c r="J23" s="135">
        <f>SUBTOTAL(109,基金[当前比例])</f>
        <v>1</v>
      </c>
      <c r="K23" s="143">
        <f>SUBTOTAL(109,基金[推荐比例])</f>
        <v>1</v>
      </c>
      <c r="Y23"/>
      <c r="Z23"/>
    </row>
    <row r="24" spans="1:26" ht="30" customHeight="1">
      <c r="B24"/>
      <c r="C24"/>
      <c r="J24"/>
      <c r="K24"/>
    </row>
    <row r="25" spans="1:26" ht="30" customHeight="1">
      <c r="B25" s="91" t="s">
        <v>125</v>
      </c>
      <c r="C25" s="91" t="s">
        <v>124</v>
      </c>
      <c r="D25" s="92" t="s">
        <v>102</v>
      </c>
      <c r="E25" s="92" t="s">
        <v>106</v>
      </c>
      <c r="F25" s="93" t="s">
        <v>105</v>
      </c>
      <c r="G25" s="93" t="s">
        <v>103</v>
      </c>
      <c r="H25" s="93" t="s">
        <v>107</v>
      </c>
      <c r="I25" s="94" t="s">
        <v>104</v>
      </c>
      <c r="J25" s="93" t="s">
        <v>108</v>
      </c>
      <c r="K25" s="91" t="s">
        <v>109</v>
      </c>
    </row>
    <row r="26" spans="1:26" ht="30" customHeight="1">
      <c r="B26" s="95" t="e" vm="1">
        <v>#VALUE!</v>
      </c>
      <c r="C26" s="109" t="s">
        <v>131</v>
      </c>
      <c r="D26" s="96">
        <v>3</v>
      </c>
      <c r="E26" s="102">
        <v>664.49</v>
      </c>
      <c r="F26" s="102">
        <f ca="1">_FV(美股投资表[[#This Row],[公司]],"Price")</f>
        <v>662.23</v>
      </c>
      <c r="G26" s="97">
        <f ca="1">美股投资表[[#This Row],[账面价值]]/美股投资表[[#This Row],[持仓成本]]-1</f>
        <v>-3.4011046065403061E-3</v>
      </c>
      <c r="H26" s="103">
        <f>美股投资表[[#This Row],[股份]]*美股投资表[[#This Row],[成本价]]</f>
        <v>1993.47</v>
      </c>
      <c r="I26" s="103">
        <f ca="1">美股投资表[[#This Row],[股份]]*美股投资表[[#This Row],[当前价格]]</f>
        <v>1986.69</v>
      </c>
      <c r="J26" s="98">
        <f ca="1">IFERROR(I26/SUBTOTAL(109,美股投资表[账面价值]),"")</f>
        <v>0.46088160945762502</v>
      </c>
      <c r="K26" s="107">
        <v>0.5</v>
      </c>
      <c r="Z26" s="88"/>
    </row>
    <row r="27" spans="1:26" ht="25.15" customHeight="1">
      <c r="A27" s="69"/>
      <c r="B27" s="95" t="e" vm="2">
        <v>#VALUE!</v>
      </c>
      <c r="C27" s="109" t="s">
        <v>132</v>
      </c>
      <c r="D27" s="96">
        <v>40</v>
      </c>
      <c r="E27" s="102">
        <v>26.523</v>
      </c>
      <c r="F27" s="102">
        <f ca="1">_FV(美股投资表[[#This Row],[公司]],"Price")</f>
        <v>26.87</v>
      </c>
      <c r="G27" s="97">
        <f ca="1">美股投资表[[#This Row],[账面价值]]/美股投资表[[#This Row],[持仓成本]]-1</f>
        <v>1.3082984579421586E-2</v>
      </c>
      <c r="H27" s="103">
        <f>美股投资表[[#This Row],[股份]]*美股投资表[[#This Row],[成本价]]</f>
        <v>1060.92</v>
      </c>
      <c r="I27" s="103">
        <f ca="1">美股投资表[[#This Row],[股份]]*美股投资表[[#This Row],[当前价格]]</f>
        <v>1074.8</v>
      </c>
      <c r="J27" s="98">
        <f ca="1">IFERROR(I27/SUBTOTAL(109,美股投资表[账面价值]),"")</f>
        <v>0.2493371154256856</v>
      </c>
      <c r="K27" s="107">
        <v>0.2</v>
      </c>
      <c r="L27" s="31"/>
      <c r="M27"/>
      <c r="Z27" s="89"/>
    </row>
    <row r="28" spans="1:26" ht="25.9" customHeight="1">
      <c r="B28" s="95" t="e" vm="3">
        <v>#VALUE!</v>
      </c>
      <c r="C28" s="155" t="s">
        <v>143</v>
      </c>
      <c r="D28" s="96">
        <v>2</v>
      </c>
      <c r="E28" s="102">
        <v>608.09500000000003</v>
      </c>
      <c r="F28" s="102">
        <f ca="1">_FV(美股投资表[[#This Row],[公司]],"Price")</f>
        <v>624.56989999999996</v>
      </c>
      <c r="G28" s="97">
        <f ca="1">美股投资表[[#This Row],[账面价值]]/美股投资表[[#This Row],[持仓成本]]-1</f>
        <v>2.7092641774722592E-2</v>
      </c>
      <c r="H28" s="103">
        <f>美股投资表[[#This Row],[股份]]*美股投资表[[#This Row],[成本价]]</f>
        <v>1216.19</v>
      </c>
      <c r="I28" s="103">
        <f ca="1">美股投资表[[#This Row],[股份]]*美股投资表[[#This Row],[当前价格]]</f>
        <v>1249.1397999999999</v>
      </c>
      <c r="J28" s="98">
        <f ca="1">IFERROR(I28/SUBTOTAL(109,美股投资表[账面价值]),"")</f>
        <v>0.28978127511668944</v>
      </c>
      <c r="K28" s="107">
        <v>0.3</v>
      </c>
      <c r="N28"/>
      <c r="Z28" s="89"/>
    </row>
    <row r="29" spans="1:26" ht="15" hidden="1">
      <c r="B29" s="95" t="e" vm="4">
        <v>#VALUE!</v>
      </c>
      <c r="C29" s="109" t="s">
        <v>127</v>
      </c>
      <c r="D29" s="96">
        <v>11</v>
      </c>
      <c r="E29" s="102">
        <v>64.909000000000006</v>
      </c>
      <c r="F29" s="102">
        <f ca="1">_FV(美股投资表[[#This Row],[公司]],"Price")</f>
        <v>68.069999999999993</v>
      </c>
      <c r="G29" s="97">
        <f ca="1">美股投资表[[#This Row],[账面价值]]/美股投资表[[#This Row],[持仓成本]]-1</f>
        <v>4.869894775762984E-2</v>
      </c>
      <c r="H29" s="103">
        <f>美股投资表[[#This Row],[股份]]*美股投资表[[#This Row],[成本价]]</f>
        <v>713.99900000000002</v>
      </c>
      <c r="I29" s="103">
        <f ca="1">美股投资表[[#This Row],[股份]]*美股投资表[[#This Row],[当前价格]]</f>
        <v>748.77</v>
      </c>
      <c r="J29" s="98">
        <f ca="1">IFERROR(I29/SUBTOTAL(109,美股投资表[账面价值]),"")</f>
        <v>0.17370315585903481</v>
      </c>
      <c r="K29" s="106">
        <v>0</v>
      </c>
      <c r="Z29" s="89"/>
    </row>
    <row r="30" spans="1:26" ht="15" hidden="1">
      <c r="B30" s="95" t="str">
        <f>[1]!EM_S_INFO_HKSHARENAME(C30)</f>
        <v>Refreshing</v>
      </c>
      <c r="C30" s="109" t="s">
        <v>126</v>
      </c>
      <c r="D30" s="96">
        <v>1000</v>
      </c>
      <c r="E30" s="139">
        <v>2.38</v>
      </c>
      <c r="F30" s="102" t="e">
        <f>[1]!EM_HKS_DQ_CLOSE(C30,"N","3","1")</f>
        <v>#NAME?</v>
      </c>
      <c r="G30" s="97" t="e">
        <f>美股投资表[[#This Row],[账面价值]]/美股投资表[[#This Row],[持仓成本]]-1</f>
        <v>#NAME?</v>
      </c>
      <c r="H30" s="140">
        <f>美股投资表[[#This Row],[股份]]*美股投资表[[#This Row],[成本价]]</f>
        <v>2380</v>
      </c>
      <c r="I30" s="103" t="e">
        <f>美股投资表[[#This Row],[股份]]*美股投资表[[#This Row],[当前价格]]</f>
        <v>#NAME?</v>
      </c>
      <c r="J30" s="98" t="str">
        <f ca="1">IFERROR(I30/SUBTOTAL(109,美股投资表[账面价值]),"")</f>
        <v/>
      </c>
      <c r="K30" s="106"/>
      <c r="Z30" s="90"/>
    </row>
    <row r="31" spans="1:26" ht="19.5" thickBot="1">
      <c r="B31" s="99" t="s">
        <v>28</v>
      </c>
      <c r="C31" s="130"/>
      <c r="D31" s="100"/>
      <c r="E31" s="100"/>
      <c r="F31" s="101"/>
      <c r="G31" s="104">
        <f ca="1">美股投资表[[#Totals],[账面价值]]/美股投资表[[#Totals],[持仓成本]]-1</f>
        <v>9.3780704260311154E-3</v>
      </c>
      <c r="H31" s="132">
        <f>SUBTOTAL(109,美股投资表[持仓成本])</f>
        <v>4270.58</v>
      </c>
      <c r="I31" s="133">
        <f ca="1">SUBTOTAL(109,美股投资表[账面价值])</f>
        <v>4310.6297999999997</v>
      </c>
      <c r="J31" s="108"/>
      <c r="K31" s="105"/>
      <c r="Z31" s="89"/>
    </row>
    <row r="32" spans="1:26" ht="15.75" thickTop="1"/>
    <row r="33" spans="1:11" ht="15"/>
    <row r="34" spans="1:11" ht="15.75">
      <c r="B34" s="91" t="s">
        <v>101</v>
      </c>
      <c r="C34" s="91" t="s">
        <v>110</v>
      </c>
      <c r="D34" s="92" t="s">
        <v>102</v>
      </c>
      <c r="E34" s="92" t="s">
        <v>106</v>
      </c>
      <c r="F34" s="93" t="s">
        <v>105</v>
      </c>
      <c r="G34" s="93" t="s">
        <v>103</v>
      </c>
      <c r="H34" s="93" t="s">
        <v>107</v>
      </c>
      <c r="I34" s="94" t="s">
        <v>104</v>
      </c>
      <c r="J34" s="93" t="s">
        <v>147</v>
      </c>
      <c r="K34" s="91" t="s">
        <v>109</v>
      </c>
    </row>
    <row r="35" spans="1:11" ht="31.15" customHeight="1">
      <c r="B35" s="95" t="str">
        <f>[1]!EM_S_INFO_COMPNAME(C35)</f>
        <v>Refreshing</v>
      </c>
      <c r="C35" s="95">
        <v>601919</v>
      </c>
      <c r="D35" s="96">
        <v>1400</v>
      </c>
      <c r="E35" s="110">
        <v>14.004</v>
      </c>
      <c r="F35" s="110" t="str">
        <f>[1]!EM_S_DQ_CLOSE(C35,"N","1")</f>
        <v>Refreshing</v>
      </c>
      <c r="G35" s="97" t="e">
        <f>A股投资表[[#This Row],[账面价值]]/A股投资表[[#This Row],[持仓成本]]-1</f>
        <v>#VALUE!</v>
      </c>
      <c r="H35" s="112">
        <f>A股投资表[[#This Row],[股份]]*A股投资表[[#This Row],[成本价]]</f>
        <v>19605.599999999999</v>
      </c>
      <c r="I35" s="112" t="e">
        <f>A股投资表[[#This Row],[股份]]*A股投资表[[#This Row],[当前价格]]</f>
        <v>#VALUE!</v>
      </c>
      <c r="J35" s="98"/>
      <c r="K35" s="107"/>
    </row>
    <row r="36" spans="1:11" ht="41.45" customHeight="1">
      <c r="A36" s="71"/>
      <c r="B36" s="95" t="str">
        <f>[1]!EM_S_INFO_COMPNAME(C36)</f>
        <v>Refreshing</v>
      </c>
      <c r="C36" s="109" t="s">
        <v>144</v>
      </c>
      <c r="D36" s="96">
        <v>300</v>
      </c>
      <c r="E36" s="110">
        <v>22.797000000000001</v>
      </c>
      <c r="F36" s="110" t="str">
        <f>[1]!EM_S_DQ_CLOSE(C36,"N","1")</f>
        <v>Refreshing</v>
      </c>
      <c r="G36" s="97" t="e">
        <f>A股投资表[[#This Row],[账面价值]]/A股投资表[[#This Row],[持仓成本]]-1</f>
        <v>#VALUE!</v>
      </c>
      <c r="H36" s="112">
        <f>A股投资表[[#This Row],[股份]]*A股投资表[[#This Row],[成本价]]</f>
        <v>6839.1</v>
      </c>
      <c r="I36" s="112" t="e">
        <f>A股投资表[[#This Row],[股份]]*A股投资表[[#This Row],[当前价格]]</f>
        <v>#VALUE!</v>
      </c>
      <c r="J36" s="98"/>
      <c r="K36" s="107"/>
    </row>
    <row r="37" spans="1:11" ht="213">
      <c r="A37" s="71"/>
      <c r="B37" s="95" t="str">
        <f>[1]!EM_S_INFO_COMPNAME(C37)</f>
        <v>Refreshing</v>
      </c>
      <c r="C37" s="109" t="s">
        <v>146</v>
      </c>
      <c r="D37" s="96">
        <v>0</v>
      </c>
      <c r="E37" s="152"/>
      <c r="F37" s="110" t="str">
        <f>[1]!EM_S_DQ_CLOSE(C37,"N","1")</f>
        <v>Refreshing</v>
      </c>
      <c r="G37" s="97" t="e">
        <f>A股投资表[[#This Row],[账面价值]]/A股投资表[[#This Row],[持仓成本]]-1</f>
        <v>#VALUE!</v>
      </c>
      <c r="H37" s="153">
        <f>A股投资表[[#This Row],[股份]]*A股投资表[[#This Row],[成本价]]</f>
        <v>0</v>
      </c>
      <c r="I37" s="112" t="e">
        <f>A股投资表[[#This Row],[股份]]*A股投资表[[#This Row],[当前价格]]</f>
        <v>#VALUE!</v>
      </c>
      <c r="J37" s="159" t="s">
        <v>148</v>
      </c>
      <c r="K37" s="160" t="s">
        <v>150</v>
      </c>
    </row>
    <row r="38" spans="1:11" ht="39.6" customHeight="1">
      <c r="A38" s="87"/>
      <c r="B38" s="95" t="str">
        <f>[1]!EM_S_INFO_COMPNAME(C38)</f>
        <v>Refreshing</v>
      </c>
      <c r="C38" s="109" t="s">
        <v>145</v>
      </c>
      <c r="D38" s="96">
        <v>100</v>
      </c>
      <c r="E38" s="152">
        <v>94.241</v>
      </c>
      <c r="F38" s="110" t="str">
        <f>[1]!EM_S_DQ_CLOSE(C38,"N","1")</f>
        <v>Refreshing</v>
      </c>
      <c r="G38" s="97" t="e">
        <f>A股投资表[[#This Row],[账面价值]]/A股投资表[[#This Row],[持仓成本]]-1</f>
        <v>#VALUE!</v>
      </c>
      <c r="H38" s="153">
        <f>A股投资表[[#This Row],[股份]]*A股投资表[[#This Row],[成本价]]</f>
        <v>9424.1</v>
      </c>
      <c r="I38" s="112" t="e">
        <f>A股投资表[[#This Row],[股份]]*A股投资表[[#This Row],[当前价格]]</f>
        <v>#VALUE!</v>
      </c>
      <c r="J38" s="154"/>
      <c r="K38" s="160"/>
    </row>
    <row r="39" spans="1:11" ht="19.5" thickBot="1">
      <c r="A39" s="71"/>
      <c r="B39" s="99" t="s">
        <v>28</v>
      </c>
      <c r="C39" s="99"/>
      <c r="D39" s="100"/>
      <c r="E39" s="111"/>
      <c r="F39" s="111"/>
      <c r="G39" s="104" t="e">
        <f>A股投资表[[#Totals],[账面价值]]/A股投资表[[#Totals],[持仓成本]]-1</f>
        <v>#VALUE!</v>
      </c>
      <c r="H39" s="113">
        <f>SUBTOTAL(109,A股投资表[持仓成本])</f>
        <v>35868.799999999996</v>
      </c>
      <c r="I39" s="113" t="e">
        <f>SUBTOTAL(109,A股投资表[账面价值])</f>
        <v>#VALUE!</v>
      </c>
      <c r="J39" s="158"/>
      <c r="K39" s="105"/>
    </row>
    <row r="40" spans="1:11" ht="15.75" thickTop="1">
      <c r="A40" s="71"/>
    </row>
    <row r="41" spans="1:11" ht="15">
      <c r="A41" s="71"/>
      <c r="F41" s="1" t="s">
        <v>133</v>
      </c>
    </row>
    <row r="42" spans="1:11" ht="30" customHeight="1">
      <c r="B42" s="1" t="s">
        <v>157</v>
      </c>
      <c r="C42" s="1" t="s">
        <v>163</v>
      </c>
      <c r="D42" s="1" t="s">
        <v>183</v>
      </c>
      <c r="E42" s="1" t="s">
        <v>154</v>
      </c>
      <c r="F42" s="1" t="s">
        <v>184</v>
      </c>
      <c r="G42" s="1" t="s">
        <v>155</v>
      </c>
      <c r="H42" s="1" t="s">
        <v>156</v>
      </c>
    </row>
    <row r="43" spans="1:11" ht="30" customHeight="1">
      <c r="C43" s="163" t="s">
        <v>158</v>
      </c>
    </row>
    <row r="44" spans="1:11" ht="30" customHeight="1">
      <c r="C44" s="163" t="s">
        <v>159</v>
      </c>
      <c r="D44" s="1" t="s">
        <v>164</v>
      </c>
    </row>
    <row r="45" spans="1:11" ht="30" customHeight="1">
      <c r="C45" s="163" t="s">
        <v>179</v>
      </c>
      <c r="D45" s="1" t="s">
        <v>180</v>
      </c>
    </row>
    <row r="46" spans="1:11" ht="30" customHeight="1">
      <c r="C46" s="163" t="s">
        <v>162</v>
      </c>
      <c r="D46" s="1" t="s">
        <v>166</v>
      </c>
    </row>
    <row r="47" spans="1:11" ht="30" customHeight="1">
      <c r="C47" s="163" t="s">
        <v>160</v>
      </c>
      <c r="D47" s="1" t="s">
        <v>167</v>
      </c>
    </row>
    <row r="48" spans="1:11" ht="30" customHeight="1">
      <c r="B48" s="1" t="s">
        <v>168</v>
      </c>
      <c r="C48" s="163" t="s">
        <v>161</v>
      </c>
      <c r="D48" s="1" t="s">
        <v>165</v>
      </c>
    </row>
    <row r="49" spans="2:6" ht="30" customHeight="1">
      <c r="B49" s="1" t="s">
        <v>168</v>
      </c>
      <c r="C49" s="163" t="s">
        <v>181</v>
      </c>
      <c r="D49" s="1" t="s">
        <v>182</v>
      </c>
    </row>
    <row r="50" spans="2:6" ht="30" customHeight="1">
      <c r="B50" s="1" t="s">
        <v>168</v>
      </c>
      <c r="C50" s="163" t="s">
        <v>170</v>
      </c>
      <c r="D50" s="1" t="s">
        <v>169</v>
      </c>
    </row>
    <row r="51" spans="2:6" ht="30" customHeight="1">
      <c r="C51" s="163" t="s">
        <v>171</v>
      </c>
      <c r="D51" s="1" t="s">
        <v>172</v>
      </c>
    </row>
    <row r="52" spans="2:6" ht="30" customHeight="1">
      <c r="B52" s="1" t="s">
        <v>174</v>
      </c>
      <c r="C52" s="163" t="s">
        <v>173</v>
      </c>
      <c r="E52" s="1" t="s">
        <v>175</v>
      </c>
    </row>
    <row r="53" spans="2:6" ht="57.6" customHeight="1">
      <c r="B53" s="1" t="s">
        <v>176</v>
      </c>
      <c r="C53" s="163" t="s">
        <v>189</v>
      </c>
      <c r="D53" s="1" t="s">
        <v>187</v>
      </c>
      <c r="E53" s="163" t="s">
        <v>177</v>
      </c>
    </row>
    <row r="54" spans="2:6" ht="70.900000000000006" customHeight="1">
      <c r="B54" s="1" t="s">
        <v>176</v>
      </c>
      <c r="C54" s="163" t="s">
        <v>185</v>
      </c>
      <c r="D54" s="1" t="s">
        <v>188</v>
      </c>
      <c r="E54" s="164" t="s">
        <v>186</v>
      </c>
      <c r="F54" s="1" t="s">
        <v>178</v>
      </c>
    </row>
  </sheetData>
  <dataConsolidate/>
  <mergeCells count="2">
    <mergeCell ref="B1:M1"/>
    <mergeCell ref="L17:N22"/>
  </mergeCells>
  <phoneticPr fontId="18" type="noConversion"/>
  <conditionalFormatting sqref="B13:M13">
    <cfRule type="iconSet" priority="19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N5:N11">
    <cfRule type="cellIs" dxfId="2" priority="21" operator="lessThan">
      <formula>0</formula>
    </cfRule>
    <cfRule type="cellIs" dxfId="1" priority="22" operator="greaterThan">
      <formula>0</formula>
    </cfRule>
  </conditionalFormatting>
  <conditionalFormatting sqref="O5:O11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:Q11">
    <cfRule type="dataBar" priority="2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{EACBA3CE-A2EB-423E-B87D-6E36C40CA13B}</x14:id>
        </ext>
      </extLst>
    </cfRule>
  </conditionalFormatting>
  <conditionalFormatting sqref="R5:R11">
    <cfRule type="containsText" dxfId="0" priority="20" operator="containsText" text="不合理">
      <formula>NOT(ISERROR(SEARCH("不合理",R5)))</formula>
    </cfRule>
  </conditionalFormatting>
  <dataValidations disablePrompts="1" count="23">
    <dataValidation allowBlank="1" showInputMessage="1" showErrorMessage="1" prompt="此列中自动显示支出金额" sqref="B4:N4" xr:uid="{C3D0993F-14C2-4230-B50E-2EEA60CF1A3C}"/>
    <dataValidation allowBlank="1" showInputMessage="1" showErrorMessage="1" prompt="簇状柱形图的图例" sqref="N3" xr:uid="{1484440F-775A-44FE-95A6-9BD465B42C38}"/>
    <dataValidation allowBlank="1" showInputMessage="1" showErrorMessage="1" prompt="比较 12 月支出的簇状柱形图。选择 M2 中的导航链接以查看支出详细信息。导航到从 M4 开始的“支出摘要”表，以查看每个支出金额的摘要" sqref="M3" xr:uid="{DACE2174-09FA-4563-9DBB-D580CC2B5D1C}"/>
    <dataValidation allowBlank="1" showInputMessage="1" showErrorMessage="1" prompt="比较 11 月支出的簇状柱形图。选择 L2 中的导航链接以查看支出详细信息。导航到从 L4 开始的“支出摘要”表，以查看每个支出金额的摘要" sqref="L3" xr:uid="{D6174FC5-657B-4480-97B2-AA166BCA8FCB}"/>
    <dataValidation allowBlank="1" showInputMessage="1" showErrorMessage="1" prompt="比较 10 月支出的簇状柱形图。选择 K2 中的导航链接以查看支出详细信息。导航到从 K4 开始的“支出摘要”表，以查看每个支出金额的摘要" sqref="K3" xr:uid="{7A347B85-5CF3-44C5-B9DD-A59A1F16E495}"/>
    <dataValidation allowBlank="1" showInputMessage="1" showErrorMessage="1" prompt="比较 9 月支出的簇状柱形图。选择 J2 中的导航链接以查看支出详细信息。导航到从 J4 开始的“支出摘要”表，以查看每个支出金额的摘要" sqref="J3" xr:uid="{FCCFFD74-27D6-4822-927C-28ABD4819808}"/>
    <dataValidation allowBlank="1" showInputMessage="1" showErrorMessage="1" prompt="比较 8 月支出的簇状柱形图。选择 I2 中的导航链接以查看支出详细信息。导航到从 I4 开始的“支出摘要”表，以查看每个支出金额的摘要" sqref="I3" xr:uid="{20C63537-7AC4-4472-9C50-614935E4EF3E}"/>
    <dataValidation allowBlank="1" showInputMessage="1" showErrorMessage="1" prompt="比较 7 月支出的簇状柱形图。选择 H2 中的导航链接以查看支出详细信息。导航到从 H4 开始的“支出摘要”表，以查看每个支出金额的摘要" sqref="H3" xr:uid="{F2877E54-0762-4D44-8085-0527ABF2ADEB}"/>
    <dataValidation allowBlank="1" showInputMessage="1" showErrorMessage="1" prompt="比较 6 月支出的簇状柱形图。选择 G2 中的导航链接以查看支出详细信息。导航到从 G4 开始的“支出摘要”表，以查看每个支出金额的摘要" sqref="G3" xr:uid="{8FD9DEF5-C9AE-4673-8132-B3171EC5900E}"/>
    <dataValidation allowBlank="1" showInputMessage="1" showErrorMessage="1" prompt="比较 5 月支出的簇状柱形图。选择 F2 中的导航链接以查看支出详细信息。导航到从 F4 开始的“支出摘要”表，以查看每个支出金额的摘要" sqref="F3" xr:uid="{0006F549-7DEE-43AD-9F4D-72DF81D00525}"/>
    <dataValidation allowBlank="1" showInputMessage="1" showErrorMessage="1" prompt="比较 4 月支出的簇状柱形图。选择 E2 中的导航链接以查看支出详细信息。导航到从 E4 开始的“支出摘要”表，以查看每个支出金额的摘要" sqref="E3" xr:uid="{D4A8E29A-F9DF-4203-93DD-D02BD710BFF1}"/>
    <dataValidation allowBlank="1" showInputMessage="1" showErrorMessage="1" prompt="比较 3 月支出的簇状柱形图。选择 D2 中的导航链接以查看支出详细信息。导航到从 D4 开始的“支出摘要”表，以查看每个支出金额的摘要" sqref="D3" xr:uid="{1E8F0328-4C9D-4153-AE88-D22458A12747}"/>
    <dataValidation allowBlank="1" showInputMessage="1" showErrorMessage="1" prompt="比较 2 月支出的簇状柱形图。选择 C2 中的导航链接以查看支出详细信息。导航到从 C4 开始的“支出摘要”表，以查看每个支出金额的摘要" sqref="C3" xr:uid="{D57B3750-FA64-444B-B535-649BEF4BD2A9}"/>
    <dataValidation allowBlank="1" showInputMessage="1" showErrorMessage="1" prompt="比较 1 月支出的簇状柱形图。选择 B2 中的导航链接以查看支出详细信息。导航到从 B4 开始的“支出摘要”表，以查看每个支出金额的摘要" sqref="B3" xr:uid="{5C7250D7-A3E5-4D8F-9DD3-23E8F669A278}"/>
    <dataValidation allowBlank="1" showInputMessage="1" showErrorMessage="1" prompt="B3 到 M3 中显示比较 1 月到 12 月支出的簇状柱形图。每个簇状柱形图上方 B2 到 M2 显示每个月的导航超链接。“支出摘要”表中显示每个月的支出摘要" sqref="A3" xr:uid="{22B08484-4C71-424D-89ED-DD3C17A89318}"/>
    <dataValidation allowBlank="1" showInputMessage="1" showErrorMessage="1" prompt="指向提示工作表的导航超链接，该工作表介绍如何使用此工作簿" sqref="N2" xr:uid="{3902D448-6A64-4404-9208-9786A8E9D09E}"/>
    <dataValidation allowBlank="1" showInputMessage="1" showErrorMessage="1" prompt="指向当月支出详细信息的导航超链接" sqref="B2:M2" xr:uid="{0B99B1BB-4413-4EBF-8153-1D3063BA7840}"/>
    <dataValidation allowBlank="1" showInputMessage="1" showErrorMessage="1" prompt="单元格 B2 到 M2 包含导航链接，指向日历年中每个月支出的详细大纲，从 1 月开始，到 12 月结束。单元格 N2 包含指向提示工作表的导航链接" sqref="A2" xr:uid="{AE6F965D-688F-4205-8E93-EEC576841109}"/>
    <dataValidation allowBlank="1" showInputMessage="1" showErrorMessage="1" prompt="此列中显示迷你图，对 12 个月间 1 项支出的支出趋势进行可视化" sqref="P4" xr:uid="{4233FEAB-8373-429A-BDDD-A858525A3949}"/>
    <dataValidation allowBlank="1" showInputMessage="1" showErrorMessage="1" prompt="此列中自动显示 12 个月间的总支出" sqref="O4" xr:uid="{0DD89677-B49C-4BA7-A4A4-335DA6B3B17D}"/>
    <dataValidation allowBlank="1" showInputMessage="1" showErrorMessage="1" prompt="在此列中输入支出名称" sqref="A4" xr:uid="{DB4B92B3-869A-42F2-BA7B-1F63F647A48F}"/>
    <dataValidation allowBlank="1" showInputMessage="1" showErrorMessage="1" prompt="跟踪 12 个月以来特定支出的支出趋势工作簿。除此摘要工作表外，此工作簿还包含一个提示工作表和每个月的工作表" sqref="A1" xr:uid="{1C72FAEC-B6C0-435A-9BF8-1435FC42305B}"/>
    <dataValidation type="list" allowBlank="1" showInputMessage="1" showErrorMessage="1" sqref="C26:C30 C35:C38" xr:uid="{7E71A8DB-55EB-47FA-B90E-3742CB6FE8B0}">
      <formula1>美股投资组合</formula1>
    </dataValidation>
  </dataValidations>
  <hyperlinks>
    <hyperlink ref="B2" location="'1 月'!A1" tooltip="选择以导航到 1 月" display="1 月" xr:uid="{1664D13A-B6F5-4115-91F5-376D4C1B5A9E}"/>
    <hyperlink ref="N2" location="提示!A1" tooltip="选择以导航到提示" display="提示" xr:uid="{1A233DC1-124A-44E4-9D0E-427DCF673A73}"/>
    <hyperlink ref="C2:M2" location="'1 月'!A1" tooltip="选择以导航到 1 月" display="1 月" xr:uid="{ECC08A18-78BD-490B-BD8D-B9F4D4B74262}"/>
  </hyperlinks>
  <printOptions horizontalCentered="1"/>
  <pageMargins left="0.25" right="0.25" top="0.75" bottom="0.75" header="0.3" footer="0.3"/>
  <pageSetup paperSize="9" scale="45" orientation="landscape" r:id="rId1"/>
  <headerFooter differentFirst="1">
    <oddFooter>Page &amp;P of &amp;N</oddFooter>
  </headerFooter>
  <drawing r:id="rId2"/>
  <legacyDrawing r:id="rId3"/>
  <tableParts count="6">
    <tablePart r:id="rId4"/>
    <tablePart r:id="rId5"/>
    <tablePart r:id="rId6"/>
    <tablePart r:id="rId7"/>
    <tablePart r:id="rId8"/>
    <tablePart r:id="rId9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562AAE5-480E-42C2-8B30-5062C383B6A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F16:F22</xm:sqref>
        </x14:conditionalFormatting>
        <x14:conditionalFormatting xmlns:xm="http://schemas.microsoft.com/office/excel/2006/main">
          <x14:cfRule type="iconSet" priority="45" id="{60044813-255D-4C13-865E-0693AAAF55C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G26:G30</xm:sqref>
        </x14:conditionalFormatting>
        <x14:conditionalFormatting xmlns:xm="http://schemas.microsoft.com/office/excel/2006/main">
          <x14:cfRule type="iconSet" priority="2" id="{6B81DD88-B9A6-4E8A-8273-C247685F27E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G31</xm:sqref>
        </x14:conditionalFormatting>
        <x14:conditionalFormatting xmlns:xm="http://schemas.microsoft.com/office/excel/2006/main">
          <x14:cfRule type="iconSet" priority="46" id="{67CC07C8-BFF5-4917-8FA6-CBEAE7129ED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G35:G38</xm:sqref>
        </x14:conditionalFormatting>
        <x14:conditionalFormatting xmlns:xm="http://schemas.microsoft.com/office/excel/2006/main">
          <x14:cfRule type="iconSet" priority="1" id="{616E5CC4-DADD-4477-9C5E-DF4D96E9E0B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G39</xm:sqref>
        </x14:conditionalFormatting>
        <x14:conditionalFormatting xmlns:xm="http://schemas.microsoft.com/office/excel/2006/main">
          <x14:cfRule type="dataBar" id="{EACBA3CE-A2EB-423E-B87D-6E36C40CA13B}">
            <x14:dataBar minLength="0" maxLength="100" direction="rightToLef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Q5:Q11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last="1" negative="1" xr2:uid="{088FE9DB-32CE-4EA7-9FF4-4FAB2DD96B25}">
          <x14:colorSeries theme="4" tint="-0.499984740745262"/>
          <x14:colorNegative theme="6" tint="-0.499984740745262"/>
          <x14:colorAxis rgb="FF000000"/>
          <x14:colorMarkers theme="7" tint="-0.249977111117893"/>
          <x14:colorFirst theme="5" tint="-0.249977111117893"/>
          <x14:colorLast theme="7" tint="-0.499984740745262"/>
          <x14:colorHigh theme="5" tint="-0.249977111117893"/>
          <x14:colorLow theme="5" tint="-0.249977111117893"/>
          <x14:sparklines>
            <x14:sparkline>
              <xm:f>投资收益表!B5:M5</xm:f>
              <xm:sqref>P5</xm:sqref>
            </x14:sparkline>
            <x14:sparkline>
              <xm:f>投资收益表!B6:M6</xm:f>
              <xm:sqref>P6</xm:sqref>
            </x14:sparkline>
            <x14:sparkline>
              <xm:f>投资收益表!B7:M7</xm:f>
              <xm:sqref>P7</xm:sqref>
            </x14:sparkline>
            <x14:sparkline>
              <xm:f>投资收益表!B8:M8</xm:f>
              <xm:sqref>P8</xm:sqref>
            </x14:sparkline>
            <x14:sparkline>
              <xm:f>投资收益表!B9:M9</xm:f>
              <xm:sqref>P9</xm:sqref>
            </x14:sparkline>
            <x14:sparkline>
              <xm:f>投资收益表!B10:M10</xm:f>
              <xm:sqref>P10</xm:sqref>
            </x14:sparkline>
            <x14:sparkline>
              <xm:f>投资收益表!B11:M11</xm:f>
              <xm:sqref>P11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00000"/>
    <pageSetUpPr autoPageBreaks="0" fitToPage="1"/>
  </sheetPr>
  <dimension ref="A1:H19"/>
  <sheetViews>
    <sheetView showGridLines="0" topLeftCell="A10" workbookViewId="0">
      <selection activeCell="F10" sqref="F10"/>
    </sheetView>
  </sheetViews>
  <sheetFormatPr defaultColWidth="9.14453125" defaultRowHeight="30" customHeight="1"/>
  <cols>
    <col min="1" max="1" width="19.63671875" style="1" customWidth="1"/>
    <col min="2" max="2" width="15.6015625" style="1" customWidth="1"/>
    <col min="3" max="3" width="20.984375" style="1" customWidth="1"/>
    <col min="4" max="4" width="17.484375" style="1" customWidth="1"/>
    <col min="5" max="5" width="19.234375" style="1" customWidth="1"/>
    <col min="6" max="6" width="18.16015625" style="1" customWidth="1"/>
    <col min="7" max="16384" width="9.14453125" style="1"/>
  </cols>
  <sheetData>
    <row r="1" spans="1:8" ht="35.1" customHeight="1">
      <c r="A1" s="168" t="s">
        <v>8</v>
      </c>
      <c r="B1" s="168"/>
      <c r="C1" s="168"/>
      <c r="D1" s="33" t="s">
        <v>62</v>
      </c>
      <c r="E1" s="11" t="s">
        <v>6</v>
      </c>
    </row>
    <row r="2" spans="1:8" ht="17.100000000000001" customHeight="1">
      <c r="A2" s="7" t="s">
        <v>9</v>
      </c>
      <c r="B2" s="7" t="s">
        <v>66</v>
      </c>
      <c r="C2" s="7" t="s">
        <v>47</v>
      </c>
      <c r="D2" s="7" t="s">
        <v>46</v>
      </c>
      <c r="E2" s="7" t="s">
        <v>13</v>
      </c>
      <c r="F2" s="7" t="s">
        <v>15</v>
      </c>
      <c r="G2" s="7" t="s">
        <v>16</v>
      </c>
      <c r="H2" s="1" t="s">
        <v>91</v>
      </c>
    </row>
    <row r="3" spans="1:8" ht="30" customHeight="1">
      <c r="A3" s="12"/>
      <c r="B3" s="8" t="s">
        <v>11</v>
      </c>
      <c r="C3" s="8"/>
      <c r="D3" s="8"/>
      <c r="E3" s="28">
        <v>192935.76</v>
      </c>
      <c r="F3" s="8" t="s">
        <v>33</v>
      </c>
      <c r="G3" s="8"/>
    </row>
    <row r="4" spans="1:8" ht="30" customHeight="1">
      <c r="A4" s="12"/>
      <c r="B4" s="8" t="s">
        <v>12</v>
      </c>
      <c r="C4" s="8"/>
      <c r="D4" s="8"/>
      <c r="E4" s="28">
        <v>2119.37</v>
      </c>
      <c r="F4" s="8" t="s">
        <v>35</v>
      </c>
      <c r="G4" s="8"/>
    </row>
    <row r="5" spans="1:8" ht="30" customHeight="1">
      <c r="A5" s="12"/>
      <c r="B5" s="8"/>
      <c r="C5" s="8"/>
      <c r="D5" s="8"/>
      <c r="E5" s="28">
        <v>41299.21</v>
      </c>
      <c r="F5" s="8" t="s">
        <v>31</v>
      </c>
      <c r="G5" s="8"/>
    </row>
    <row r="6" spans="1:8" ht="30" customHeight="1">
      <c r="A6" s="12"/>
      <c r="B6" s="8"/>
      <c r="C6" s="8" t="e" vm="5">
        <v>#VALUE!</v>
      </c>
      <c r="D6" s="21">
        <v>0.01</v>
      </c>
      <c r="E6" s="17" cm="1">
        <f t="array" aca="1" ref="E6" ca="1">ExpJan[[#This Row],[特殊币种]]*_FV(ExpJan[[#This Row],[汇率（特殊-CNY）]],"Price")</f>
        <v>9.1669999999999998E-3</v>
      </c>
      <c r="F6" s="8" t="s">
        <v>43</v>
      </c>
      <c r="G6" s="8"/>
    </row>
    <row r="7" spans="1:8" ht="30" customHeight="1">
      <c r="A7" s="12"/>
      <c r="B7" s="8"/>
      <c r="C7" s="8">
        <v>6.83</v>
      </c>
      <c r="D7" s="19">
        <v>1295.18</v>
      </c>
      <c r="E7" s="29">
        <f>ExpJan[[#This Row],[汇率（特殊-CNY）]]*ExpJan[[#This Row],[特殊币种]]</f>
        <v>8846.0794000000005</v>
      </c>
      <c r="F7" s="8" t="s">
        <v>41</v>
      </c>
      <c r="G7" s="8"/>
    </row>
    <row r="8" spans="1:8" ht="30" customHeight="1">
      <c r="A8" s="12"/>
      <c r="B8" s="8"/>
      <c r="C8" s="8"/>
      <c r="D8" s="8"/>
      <c r="E8" s="29">
        <v>46588.66</v>
      </c>
      <c r="F8" s="8" t="s">
        <v>39</v>
      </c>
      <c r="G8" s="8"/>
    </row>
    <row r="9" spans="1:8" ht="30" customHeight="1">
      <c r="A9" s="12"/>
      <c r="B9" s="8"/>
      <c r="C9" s="8"/>
      <c r="D9" s="8"/>
      <c r="E9" s="29">
        <v>46095</v>
      </c>
      <c r="F9" s="8" t="s">
        <v>37</v>
      </c>
      <c r="G9" s="8"/>
    </row>
    <row r="10" spans="1:8" ht="30" customHeight="1">
      <c r="A10" s="12"/>
      <c r="B10" s="8"/>
      <c r="C10" s="8"/>
      <c r="D10" s="8"/>
      <c r="E10" s="29">
        <f>134.84+0.02</f>
        <v>134.86000000000001</v>
      </c>
      <c r="F10" s="8" t="s">
        <v>50</v>
      </c>
      <c r="G10" s="8"/>
    </row>
    <row r="11" spans="1:8" ht="30" customHeight="1">
      <c r="A11" s="12"/>
      <c r="B11" s="8"/>
      <c r="C11" s="8"/>
      <c r="D11" s="8"/>
      <c r="E11" s="29">
        <v>0.2</v>
      </c>
      <c r="F11" s="8" t="s">
        <v>52</v>
      </c>
      <c r="G11" s="8"/>
    </row>
    <row r="12" spans="1:8" ht="30" customHeight="1">
      <c r="A12" s="9" t="s">
        <v>28</v>
      </c>
      <c r="B12" s="9"/>
      <c r="C12" s="9"/>
      <c r="D12" s="9"/>
      <c r="E12" s="13">
        <f ca="1">SUBTOTAL(109,ExpJan[金额])</f>
        <v>338019.148567</v>
      </c>
      <c r="F12" s="9"/>
      <c r="G12" s="9"/>
      <c r="H12" s="9"/>
    </row>
    <row r="14" spans="1:8" ht="30" customHeight="1">
      <c r="A14" s="7" t="s">
        <v>9</v>
      </c>
      <c r="B14" s="7" t="s">
        <v>59</v>
      </c>
      <c r="C14" s="7" t="s">
        <v>47</v>
      </c>
      <c r="D14" s="7" t="s">
        <v>46</v>
      </c>
      <c r="E14" s="7" t="s">
        <v>13</v>
      </c>
      <c r="F14" s="7" t="s">
        <v>15</v>
      </c>
      <c r="G14" s="7" t="s">
        <v>16</v>
      </c>
      <c r="H14" s="1" t="s">
        <v>92</v>
      </c>
    </row>
    <row r="15" spans="1:8" ht="30" customHeight="1">
      <c r="A15" s="12"/>
      <c r="B15" s="8"/>
      <c r="C15" s="8"/>
      <c r="D15" s="8"/>
      <c r="E15" s="17">
        <v>1789.74</v>
      </c>
      <c r="F15" s="8" t="s">
        <v>135</v>
      </c>
      <c r="G15" s="8" t="s">
        <v>141</v>
      </c>
      <c r="H15" s="1" t="s">
        <v>135</v>
      </c>
    </row>
    <row r="16" spans="1:8" ht="30" customHeight="1">
      <c r="A16" s="12"/>
      <c r="B16" s="8"/>
      <c r="C16" s="8"/>
      <c r="D16" s="8"/>
      <c r="E16" s="131">
        <v>4060.96</v>
      </c>
      <c r="F16" s="8" t="s">
        <v>137</v>
      </c>
      <c r="G16" s="8"/>
      <c r="H16" s="1" t="s">
        <v>137</v>
      </c>
    </row>
    <row r="17" spans="1:8" ht="30" customHeight="1">
      <c r="A17" s="12"/>
      <c r="B17" s="8"/>
      <c r="C17" s="8" t="e" vm="6">
        <v>#VALUE!</v>
      </c>
      <c r="D17" s="137">
        <v>0.01</v>
      </c>
      <c r="E17" s="17" cm="1">
        <f t="array" aca="1" ref="E17" ca="1">ExpJan投资组合[[#This Row],[特殊币种]]*_FV(ExpJan投资组合[[#This Row],[汇率（特殊-CNY）]],"Price")</f>
        <v>7.1264000000000008E-2</v>
      </c>
      <c r="F17" s="8" t="s">
        <v>86</v>
      </c>
      <c r="G17" s="8"/>
      <c r="H17" s="1" t="s">
        <v>86</v>
      </c>
    </row>
    <row r="18" spans="1:8" ht="30" customHeight="1">
      <c r="A18" s="12"/>
      <c r="B18" s="8"/>
      <c r="C18" s="8"/>
      <c r="D18" s="8"/>
      <c r="E18" s="131">
        <v>1661.3</v>
      </c>
      <c r="F18" s="8" t="s">
        <v>139</v>
      </c>
      <c r="G18" s="8"/>
      <c r="H18" s="1" t="s">
        <v>139</v>
      </c>
    </row>
    <row r="19" spans="1:8" ht="30" customHeight="1">
      <c r="A19" s="9" t="s">
        <v>28</v>
      </c>
      <c r="B19" s="9"/>
      <c r="C19" s="9"/>
      <c r="D19" s="9"/>
      <c r="E19" s="18">
        <f ca="1">SUBTOTAL(109,ExpJan投资组合[金额])</f>
        <v>7512.0712640000002</v>
      </c>
      <c r="F19" s="9"/>
      <c r="G19" s="9"/>
      <c r="H19" s="9"/>
    </row>
  </sheetData>
  <mergeCells count="1">
    <mergeCell ref="A1:C1"/>
  </mergeCells>
  <phoneticPr fontId="10" type="noConversion"/>
  <dataValidations count="13">
    <dataValidation allowBlank="1" showInputMessage="1" showErrorMessage="1" prompt="此工作表中的表上列出了详细开支的大纲。单元格 D1 和 E1 中分别是“摘要”工作表和“提示”工作表的导航超链接" sqref="A1:C1" xr:uid="{00000000-0002-0000-0200-000003000000}"/>
    <dataValidation allowBlank="1" showInputMessage="1" showErrorMessage="1" prompt="“摘要”工作表的导航超链接" sqref="D1" xr:uid="{00000000-0002-0000-0200-000004000000}"/>
    <dataValidation allowBlank="1" showInputMessage="1" showErrorMessage="1" prompt="“提示”工作表的导航超链接" sqref="E1" xr:uid="{00000000-0002-0000-0200-000005000000}"/>
    <dataValidation allowBlank="1" showInputMessage="1" showErrorMessage="1" prompt="在此列中输入支出日期" sqref="A2 A14:A15" xr:uid="{00000000-0002-0000-0200-000006000000}"/>
    <dataValidation allowBlank="1" showInputMessage="1" showErrorMessage="1" prompt="在此列中输入支出金额" sqref="E2 E14:E15" xr:uid="{00000000-0002-0000-0200-000008000000}"/>
    <dataValidation allowBlank="1" showInputMessage="1" showErrorMessage="1" prompt="由“摘要”工作表中“支出摘要”表的“支出”列自动填充的支出类别列表。按 Alt+向下键可浏览列表。按 Enter 可选择类别" sqref="F2 F14" xr:uid="{00000000-0002-0000-0200-000009000000}"/>
    <dataValidation allowBlank="1" showInputMessage="1" showErrorMessage="1" prompt="在此列中输入支出描述" sqref="G2 G14:G15" xr:uid="{00000000-0002-0000-0200-00000A000000}"/>
    <dataValidation type="custom" errorStyle="warning" allowBlank="1" showInputMessage="1" showErrorMessage="1" errorTitle="金额验证" error="金额应为数字。" sqref="E3:E6" xr:uid="{D531F263-2ADF-4259-BA12-3D2B1A5C3815}">
      <formula1>ISNUMBER($G3)</formula1>
    </dataValidation>
    <dataValidation allowBlank="1" showInputMessage="1" showErrorMessage="1" prompt="在此列中输入 PO#" sqref="B2:D2 B14:D15" xr:uid="{00000000-0002-0000-0200-000007000000}"/>
    <dataValidation type="custom" errorStyle="warning" allowBlank="1" showInputMessage="1" showErrorMessage="1" errorTitle="金额验证" error="金额应为数字。" sqref="E16:E18" xr:uid="{E516857B-725E-44BB-8A89-7939E6EC4990}">
      <formula1>ISNUMBER($E16)</formula1>
    </dataValidation>
    <dataValidation type="custom" errorStyle="warning" allowBlank="1" showInputMessage="1" showErrorMessage="1" error="需输入 8 月的日期，以便将此支出添加到“摘要”表" sqref="A16:A18" xr:uid="{B56B67C4-A02F-4428-B619-4534B21E1BD6}">
      <formula1>MONTH($A16)=8</formula1>
    </dataValidation>
    <dataValidation type="list" errorStyle="warning" allowBlank="1" showInputMessage="1" showErrorMessage="1" error="应从下拉列表中选择开支，以便“摘要”工作表中包含该开支" sqref="F3:F11" xr:uid="{00B8EDB8-88CD-494E-B340-C1B4B68588B3}">
      <formula1>ExpenseCategories</formula1>
    </dataValidation>
    <dataValidation type="custom" errorStyle="warning" allowBlank="1" showInputMessage="1" showErrorMessage="1" error="需输入 1 月的日期，以便将此支出添加到“摘要”表" sqref="A3:A11" xr:uid="{00000000-0002-0000-0200-000002000000}">
      <formula1>MONTH($A3)=1</formula1>
    </dataValidation>
  </dataValidations>
  <hyperlinks>
    <hyperlink ref="D1" location="总资产摘要!A1" tooltip="选择以查看摘要" display="摘要" xr:uid="{00000000-0004-0000-0200-000000000000}"/>
    <hyperlink ref="E1" location="提示!A1" tooltip="选择以导航到“提示”工作表" display="提示" xr:uid="{00000000-0004-0000-0200-000001000000}"/>
  </hyperlink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E0EAA8-1168-48A6-9C34-8F5972DFAB1E}">
          <x14:formula1>
            <xm:f>投资收益表!$A$5:$A$11</xm:f>
          </x14:formula1>
          <xm:sqref>H15:H18 H3:H11</xm:sqref>
        </x14:dataValidation>
        <x14:dataValidation type="list" allowBlank="1" showInputMessage="1" showErrorMessage="1" xr:uid="{199A27BF-5C6A-42B6-A67B-C2219F66C07B}">
          <x14:formula1>
            <xm:f>投资收益表!$A$5:$A$8</xm:f>
          </x14:formula1>
          <xm:sqref>F15:F18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autoPageBreaks="0" fitToPage="1"/>
  </sheetPr>
  <dimension ref="A1:H19"/>
  <sheetViews>
    <sheetView showGridLines="0" workbookViewId="0">
      <selection activeCell="F11" sqref="F11"/>
    </sheetView>
  </sheetViews>
  <sheetFormatPr defaultColWidth="9.14453125" defaultRowHeight="30" customHeight="1"/>
  <cols>
    <col min="1" max="1" width="19.63671875" style="1" customWidth="1"/>
    <col min="2" max="2" width="15.6015625" style="1" hidden="1" customWidth="1"/>
    <col min="3" max="4" width="15.6015625" style="1" customWidth="1"/>
    <col min="5" max="5" width="17.3515625" style="1" customWidth="1"/>
    <col min="6" max="7" width="30.53515625" style="1" customWidth="1"/>
    <col min="8" max="16384" width="9.14453125" style="1"/>
  </cols>
  <sheetData>
    <row r="1" spans="1:8" ht="35.1" customHeight="1">
      <c r="A1" s="168" t="s">
        <v>18</v>
      </c>
      <c r="B1" s="168"/>
      <c r="C1" s="168"/>
      <c r="D1" s="168"/>
      <c r="E1" s="168"/>
      <c r="F1" s="33" t="s">
        <v>62</v>
      </c>
      <c r="G1" s="11" t="s">
        <v>6</v>
      </c>
    </row>
    <row r="2" spans="1:8" ht="17.100000000000001" customHeight="1">
      <c r="A2" s="10" t="s">
        <v>9</v>
      </c>
      <c r="B2" s="10" t="s">
        <v>10</v>
      </c>
      <c r="C2" s="10" t="s">
        <v>47</v>
      </c>
      <c r="D2" s="10" t="s">
        <v>46</v>
      </c>
      <c r="E2" s="10" t="s">
        <v>13</v>
      </c>
      <c r="F2" s="10" t="s">
        <v>15</v>
      </c>
      <c r="G2" s="10" t="s">
        <v>16</v>
      </c>
      <c r="H2" s="1" t="s">
        <v>91</v>
      </c>
    </row>
    <row r="3" spans="1:8" ht="30" customHeight="1">
      <c r="A3" s="12"/>
      <c r="B3" s="8"/>
      <c r="C3" s="8"/>
      <c r="D3" s="8"/>
      <c r="E3" s="28">
        <v>260187.53</v>
      </c>
      <c r="F3" s="8" t="s">
        <v>33</v>
      </c>
      <c r="G3" s="157" t="b">
        <v>1</v>
      </c>
      <c r="H3" s="1" t="s">
        <v>88</v>
      </c>
    </row>
    <row r="4" spans="1:8" ht="30" customHeight="1">
      <c r="A4" s="12"/>
      <c r="B4" s="8"/>
      <c r="C4" s="8"/>
      <c r="D4" s="8"/>
      <c r="E4" s="28">
        <v>2084.81</v>
      </c>
      <c r="F4" s="8" t="s">
        <v>35</v>
      </c>
      <c r="G4" s="157" t="b">
        <v>1</v>
      </c>
      <c r="H4" s="1" t="s">
        <v>93</v>
      </c>
    </row>
    <row r="5" spans="1:8" ht="30" customHeight="1">
      <c r="A5" s="12"/>
      <c r="B5" s="8"/>
      <c r="C5" s="8"/>
      <c r="D5" s="8"/>
      <c r="E5" s="28">
        <v>42623.14</v>
      </c>
      <c r="F5" s="8" t="s">
        <v>31</v>
      </c>
      <c r="G5" s="157" t="b">
        <v>1</v>
      </c>
      <c r="H5" s="1" t="s">
        <v>85</v>
      </c>
    </row>
    <row r="6" spans="1:8" ht="30" customHeight="1">
      <c r="A6" s="12"/>
      <c r="B6" s="8"/>
      <c r="C6" s="8" t="e" vm="5">
        <v>#VALUE!</v>
      </c>
      <c r="D6" s="21">
        <v>0.01</v>
      </c>
      <c r="E6" s="17" cm="1">
        <f t="array" aca="1" ref="E6" ca="1">ExpFeb[[#This Row],[特殊币种]]*_FV(ExpFeb[[#This Row],[汇率（特殊-CNY）]],"Price")</f>
        <v>9.1669999999999998E-3</v>
      </c>
      <c r="F6" s="8" t="s">
        <v>43</v>
      </c>
      <c r="G6" s="157" t="b">
        <v>1</v>
      </c>
      <c r="H6" s="1" t="s">
        <v>93</v>
      </c>
    </row>
    <row r="7" spans="1:8" ht="30" customHeight="1">
      <c r="A7" s="12"/>
      <c r="B7" s="8"/>
      <c r="C7" s="8">
        <v>6.84</v>
      </c>
      <c r="D7" s="19">
        <v>1100.94</v>
      </c>
      <c r="E7" s="29">
        <f>ExpFeb[[#This Row],[汇率（特殊-CNY）]]*ExpFeb[[#This Row],[特殊币种]]</f>
        <v>7530.4296000000004</v>
      </c>
      <c r="F7" s="8" t="s">
        <v>41</v>
      </c>
      <c r="G7" s="157" t="b">
        <v>1</v>
      </c>
      <c r="H7" s="1" t="s">
        <v>86</v>
      </c>
    </row>
    <row r="8" spans="1:8" ht="30" customHeight="1">
      <c r="A8" s="12"/>
      <c r="B8" s="8"/>
      <c r="C8" s="8"/>
      <c r="D8" s="8"/>
      <c r="E8" s="29">
        <v>48786.92</v>
      </c>
      <c r="F8" s="8" t="s">
        <v>39</v>
      </c>
      <c r="G8" s="157" t="b">
        <v>1</v>
      </c>
      <c r="H8" s="1" t="s">
        <v>85</v>
      </c>
    </row>
    <row r="9" spans="1:8" ht="30" customHeight="1">
      <c r="A9" s="12"/>
      <c r="B9" s="8"/>
      <c r="C9" s="8"/>
      <c r="D9" s="8"/>
      <c r="E9" s="29">
        <v>0.01</v>
      </c>
      <c r="F9" s="8" t="s">
        <v>37</v>
      </c>
      <c r="G9" s="157" t="b">
        <v>1</v>
      </c>
      <c r="H9" s="1" t="s">
        <v>89</v>
      </c>
    </row>
    <row r="10" spans="1:8" ht="30" customHeight="1">
      <c r="A10" s="12"/>
      <c r="B10" s="8"/>
      <c r="C10" s="8"/>
      <c r="D10" s="8"/>
      <c r="E10" s="29">
        <f>668.45+197.76</f>
        <v>866.21</v>
      </c>
      <c r="F10" s="8" t="s">
        <v>50</v>
      </c>
      <c r="G10" s="157" t="b">
        <v>1</v>
      </c>
      <c r="H10" s="1" t="s">
        <v>93</v>
      </c>
    </row>
    <row r="11" spans="1:8" ht="30" customHeight="1">
      <c r="A11" s="12"/>
      <c r="B11" s="8"/>
      <c r="C11" s="8"/>
      <c r="D11" s="8"/>
      <c r="E11" s="29">
        <v>10086.780000000001</v>
      </c>
      <c r="F11" s="8" t="s">
        <v>52</v>
      </c>
      <c r="G11" s="157" t="b">
        <v>1</v>
      </c>
      <c r="H11" s="1" t="s">
        <v>93</v>
      </c>
    </row>
    <row r="12" spans="1:8" ht="30" customHeight="1">
      <c r="A12" s="9" t="s">
        <v>28</v>
      </c>
      <c r="B12" s="9"/>
      <c r="C12" s="9"/>
      <c r="D12" s="9"/>
      <c r="E12" s="34">
        <f ca="1">SUBTOTAL(109,ExpFeb[金额])</f>
        <v>372165.83876700007</v>
      </c>
      <c r="F12" s="9"/>
      <c r="G12" s="9"/>
      <c r="H12" s="9"/>
    </row>
    <row r="14" spans="1:8" ht="30" customHeight="1">
      <c r="A14" s="7" t="s">
        <v>9</v>
      </c>
      <c r="B14" s="7" t="s">
        <v>59</v>
      </c>
      <c r="C14" s="7" t="s">
        <v>47</v>
      </c>
      <c r="D14" s="7" t="s">
        <v>46</v>
      </c>
      <c r="E14" s="7" t="s">
        <v>13</v>
      </c>
      <c r="F14" s="7" t="s">
        <v>15</v>
      </c>
      <c r="G14" s="7" t="s">
        <v>16</v>
      </c>
      <c r="H14" s="1" t="s">
        <v>92</v>
      </c>
    </row>
    <row r="15" spans="1:8" ht="30" customHeight="1">
      <c r="A15" s="12"/>
      <c r="B15" s="8"/>
      <c r="C15" s="8"/>
      <c r="D15" s="8"/>
      <c r="E15" s="17">
        <v>682.66</v>
      </c>
      <c r="F15" s="8" t="s">
        <v>135</v>
      </c>
      <c r="G15" s="8" t="s">
        <v>141</v>
      </c>
      <c r="H15" s="1" t="s">
        <v>135</v>
      </c>
    </row>
    <row r="16" spans="1:8" ht="30" customHeight="1">
      <c r="A16" s="12"/>
      <c r="B16" s="8"/>
      <c r="C16" s="8"/>
      <c r="D16" s="8"/>
      <c r="E16" s="131">
        <v>367.93</v>
      </c>
      <c r="F16" s="8" t="s">
        <v>137</v>
      </c>
      <c r="G16" s="8"/>
      <c r="H16" s="1" t="s">
        <v>137</v>
      </c>
    </row>
    <row r="17" spans="1:8" ht="30" customHeight="1">
      <c r="A17" s="12"/>
      <c r="B17" s="8"/>
      <c r="C17" s="8" t="e" vm="6">
        <v>#VALUE!</v>
      </c>
      <c r="D17" s="137">
        <v>0.01</v>
      </c>
      <c r="E17" s="17" cm="1">
        <f t="array" aca="1" ref="E17" ca="1">ExpFeb投资组合[[#This Row],[特殊币种]]*_FV(ExpFeb投资组合[[#This Row],[汇率（特殊-CNY）]],"Price")</f>
        <v>7.1264000000000008E-2</v>
      </c>
      <c r="F17" s="8" t="s">
        <v>86</v>
      </c>
      <c r="G17" s="8"/>
      <c r="H17" s="1" t="s">
        <v>86</v>
      </c>
    </row>
    <row r="18" spans="1:8" ht="30" customHeight="1">
      <c r="A18" s="12"/>
      <c r="B18" s="8"/>
      <c r="C18" s="8"/>
      <c r="D18" s="8"/>
      <c r="E18" s="131">
        <v>921.04</v>
      </c>
      <c r="F18" s="8" t="s">
        <v>139</v>
      </c>
      <c r="G18" s="8"/>
      <c r="H18" s="1" t="s">
        <v>139</v>
      </c>
    </row>
    <row r="19" spans="1:8" ht="30" customHeight="1">
      <c r="A19" s="9" t="s">
        <v>28</v>
      </c>
      <c r="B19" s="9"/>
      <c r="C19" s="9"/>
      <c r="D19" s="9"/>
      <c r="E19" s="18">
        <f ca="1">SUBTOTAL(109,ExpFeb投资组合[金额])</f>
        <v>1971.7012639999998</v>
      </c>
      <c r="F19" s="9"/>
      <c r="G19" s="9"/>
      <c r="H19" s="9"/>
    </row>
  </sheetData>
  <mergeCells count="1">
    <mergeCell ref="A1:E1"/>
  </mergeCells>
  <phoneticPr fontId="10" type="noConversion"/>
  <dataValidations count="13">
    <dataValidation allowBlank="1" showInputMessage="1" showErrorMessage="1" prompt="此工作表中的表上列出了详细开支的大纲。单元格 D1 和 E1 中分别是“摘要”工作表和“提示”工作表的导航超链接" sqref="A1:E1" xr:uid="{00000000-0002-0000-0300-000001000000}"/>
    <dataValidation allowBlank="1" showInputMessage="1" showErrorMessage="1" prompt="“摘要”工作表的导航超链接" sqref="F1" xr:uid="{00000000-0002-0000-0300-000002000000}"/>
    <dataValidation allowBlank="1" showInputMessage="1" showErrorMessage="1" prompt="“提示”工作表的导航超链接" sqref="G1" xr:uid="{00000000-0002-0000-0300-000003000000}"/>
    <dataValidation allowBlank="1" showInputMessage="1" showErrorMessage="1" prompt="在此列中输入支出日期" sqref="A2 A14:A15" xr:uid="{00000000-0002-0000-0300-000004000000}"/>
    <dataValidation allowBlank="1" showInputMessage="1" showErrorMessage="1" prompt="在此列中输入 PO#" sqref="B2:D2 B14:D15" xr:uid="{00000000-0002-0000-0300-000005000000}"/>
    <dataValidation allowBlank="1" showInputMessage="1" showErrorMessage="1" prompt="在此列中输入支出金额" sqref="E2 E14:E15" xr:uid="{00000000-0002-0000-0300-000006000000}"/>
    <dataValidation allowBlank="1" showInputMessage="1" showErrorMessage="1" prompt="由“摘要”工作表中“支出摘要”表的“支出”列自动填充的支出类别列表。按 Alt+向下键可浏览列表。按 Enter 可选择类别" sqref="F2 F14" xr:uid="{00000000-0002-0000-0300-000007000000}"/>
    <dataValidation allowBlank="1" showInputMessage="1" showErrorMessage="1" prompt="在此列中输入支出描述" sqref="G2 G14:G15" xr:uid="{00000000-0002-0000-0300-000008000000}"/>
    <dataValidation type="custom" errorStyle="warning" allowBlank="1" showInputMessage="1" showErrorMessage="1" errorTitle="金额验证" error="金额应为数字。" sqref="E3:E6" xr:uid="{E78A92FF-9B1E-46D4-B0FC-78E3A2DFBA0E}">
      <formula1>ISNUMBER($I3)</formula1>
    </dataValidation>
    <dataValidation type="custom" errorStyle="warning" allowBlank="1" showInputMessage="1" showErrorMessage="1" errorTitle="金额验证" error="金额应为数字。" sqref="E16:E18" xr:uid="{2747DA81-5DCF-48AF-8C7E-1C52FA5ED48A}">
      <formula1>ISNUMBER($E16)</formula1>
    </dataValidation>
    <dataValidation type="custom" errorStyle="warning" allowBlank="1" showInputMessage="1" showErrorMessage="1" error="需输入 8 月的日期，以便将此支出添加到“摘要”表" sqref="A16:A18" xr:uid="{CAA0C35C-E4B8-4AB4-B054-88563E2310C5}">
      <formula1>MONTH($A16)=8</formula1>
    </dataValidation>
    <dataValidation type="list" errorStyle="warning" allowBlank="1" showInputMessage="1" showErrorMessage="1" error="应从下拉列表中选择开支，以便“摘要”工作表中包含该开支" sqref="F3:F11" xr:uid="{00000000-0002-0000-0300-000000000000}">
      <formula1>ExpenseCategories</formula1>
    </dataValidation>
    <dataValidation type="custom" errorStyle="warning" allowBlank="1" showInputMessage="1" showErrorMessage="1" error="需输入 2 月的日期，以便将此支出添加到“摘要”表" sqref="A3:A11" xr:uid="{00000000-0002-0000-0300-00000A000000}">
      <formula1>MONTH($A3)=2</formula1>
    </dataValidation>
  </dataValidations>
  <hyperlinks>
    <hyperlink ref="F1" location="总资产摘要!A1" tooltip="选择以查看摘要" display="摘要" xr:uid="{00000000-0004-0000-0300-000000000000}"/>
    <hyperlink ref="G1" location="提示!A1" tooltip="选择以导航到“提示”工作表" display="提示" xr:uid="{00000000-0004-0000-0300-000001000000}"/>
  </hyperlink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C8F2E3B-BD5C-4587-8DA2-0EBEE9E52B37}">
          <x14:formula1>
            <xm:f>投资收益表!$A$5:$A$11</xm:f>
          </x14:formula1>
          <xm:sqref>H15:H18 H3:H11</xm:sqref>
        </x14:dataValidation>
        <x14:dataValidation type="list" allowBlank="1" showInputMessage="1" showErrorMessage="1" xr:uid="{267AF66B-3D0D-47D7-A917-186987E6DC35}">
          <x14:formula1>
            <xm:f>投资收益表!$A$5:$A$8</xm:f>
          </x14:formula1>
          <xm:sqref>F15:F18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  <pageSetUpPr autoPageBreaks="0" fitToPage="1"/>
  </sheetPr>
  <dimension ref="A1:H19"/>
  <sheetViews>
    <sheetView showGridLines="0" workbookViewId="0">
      <selection activeCell="A12" sqref="A12:XFD12"/>
    </sheetView>
  </sheetViews>
  <sheetFormatPr defaultColWidth="9.14453125" defaultRowHeight="30" customHeight="1"/>
  <cols>
    <col min="1" max="1" width="19.63671875" style="1" customWidth="1"/>
    <col min="2" max="2" width="15.6015625" style="1" hidden="1" customWidth="1"/>
    <col min="3" max="3" width="15.6015625" style="1" customWidth="1"/>
    <col min="4" max="5" width="30.53515625" style="1" customWidth="1"/>
    <col min="6" max="6" width="19.234375" style="1" customWidth="1"/>
    <col min="7" max="16384" width="9.14453125" style="1"/>
  </cols>
  <sheetData>
    <row r="1" spans="1:8" ht="35.1" customHeight="1">
      <c r="A1" s="168" t="s">
        <v>19</v>
      </c>
      <c r="B1" s="168"/>
      <c r="C1" s="168"/>
      <c r="D1" s="33" t="s">
        <v>62</v>
      </c>
      <c r="E1" s="11" t="s">
        <v>6</v>
      </c>
    </row>
    <row r="2" spans="1:8" ht="17.100000000000001" customHeight="1">
      <c r="A2" s="10" t="s">
        <v>9</v>
      </c>
      <c r="B2" s="10" t="s">
        <v>10</v>
      </c>
      <c r="C2" s="10" t="s">
        <v>47</v>
      </c>
      <c r="D2" s="10" t="s">
        <v>46</v>
      </c>
      <c r="E2" s="10" t="s">
        <v>13</v>
      </c>
      <c r="F2" s="10" t="s">
        <v>67</v>
      </c>
      <c r="G2" s="10" t="s">
        <v>16</v>
      </c>
      <c r="H2" s="1" t="s">
        <v>91</v>
      </c>
    </row>
    <row r="3" spans="1:8" ht="30" customHeight="1">
      <c r="A3" s="12"/>
      <c r="B3" s="8" t="s">
        <v>11</v>
      </c>
      <c r="C3" s="8"/>
      <c r="D3" s="8"/>
      <c r="E3" s="43">
        <v>429074.87</v>
      </c>
      <c r="F3" s="8" t="s">
        <v>33</v>
      </c>
      <c r="G3" s="8" t="s">
        <v>17</v>
      </c>
      <c r="H3" s="1" t="s">
        <v>88</v>
      </c>
    </row>
    <row r="4" spans="1:8" ht="30" customHeight="1">
      <c r="A4" s="12"/>
      <c r="B4" s="8" t="s">
        <v>12</v>
      </c>
      <c r="C4" s="8"/>
      <c r="D4" s="8"/>
      <c r="E4" s="43">
        <v>1973.89</v>
      </c>
      <c r="F4" s="8" t="s">
        <v>35</v>
      </c>
      <c r="G4" s="8"/>
      <c r="H4" s="1" t="s">
        <v>93</v>
      </c>
    </row>
    <row r="5" spans="1:8" ht="30" customHeight="1">
      <c r="A5" s="12"/>
      <c r="B5" s="8"/>
      <c r="C5" s="8"/>
      <c r="D5" s="8"/>
      <c r="E5" s="43">
        <v>54889.23</v>
      </c>
      <c r="F5" s="8" t="s">
        <v>31</v>
      </c>
      <c r="G5" s="8"/>
      <c r="H5" s="1" t="s">
        <v>85</v>
      </c>
    </row>
    <row r="6" spans="1:8" ht="30" customHeight="1">
      <c r="A6" s="12"/>
      <c r="B6" s="8"/>
      <c r="C6" s="8" t="e" vm="5">
        <v>#VALUE!</v>
      </c>
      <c r="D6" s="21">
        <v>0.01</v>
      </c>
      <c r="E6" s="43" cm="1">
        <f t="array" aca="1" ref="E6" ca="1">ExpMar[[#This Row],[特殊币种]]*_FV(ExpMar[[#This Row],[汇率（特殊-CNY）]],"Price")</f>
        <v>9.1669999999999998E-3</v>
      </c>
      <c r="F6" s="8" t="s">
        <v>43</v>
      </c>
      <c r="G6" s="8"/>
      <c r="H6" s="1" t="s">
        <v>93</v>
      </c>
    </row>
    <row r="7" spans="1:8" ht="30" customHeight="1">
      <c r="A7" s="12"/>
      <c r="B7" s="8"/>
      <c r="C7" s="8"/>
      <c r="D7" s="19"/>
      <c r="E7" s="43">
        <v>7845.43</v>
      </c>
      <c r="F7" s="8" t="s">
        <v>41</v>
      </c>
      <c r="G7" s="8"/>
      <c r="H7" s="1" t="s">
        <v>86</v>
      </c>
    </row>
    <row r="8" spans="1:8" ht="30" customHeight="1">
      <c r="A8" s="12"/>
      <c r="B8" s="8"/>
      <c r="C8" s="8"/>
      <c r="D8" s="8"/>
      <c r="E8" s="43">
        <v>48266.09</v>
      </c>
      <c r="F8" s="8" t="s">
        <v>39</v>
      </c>
      <c r="G8" s="8"/>
      <c r="H8" s="1" t="s">
        <v>85</v>
      </c>
    </row>
    <row r="9" spans="1:8" ht="30" customHeight="1">
      <c r="A9" s="42"/>
      <c r="C9" s="8"/>
      <c r="D9" s="8"/>
      <c r="E9" s="44">
        <v>0.01</v>
      </c>
      <c r="F9" s="8" t="s">
        <v>37</v>
      </c>
      <c r="H9" s="1" t="s">
        <v>89</v>
      </c>
    </row>
    <row r="10" spans="1:8" ht="30" customHeight="1">
      <c r="A10" s="42"/>
      <c r="C10" s="8"/>
      <c r="D10" s="8"/>
      <c r="E10" s="44">
        <f>4.08+3.26</f>
        <v>7.34</v>
      </c>
      <c r="F10" s="8" t="s">
        <v>50</v>
      </c>
      <c r="H10" s="1" t="s">
        <v>93</v>
      </c>
    </row>
    <row r="11" spans="1:8" ht="30" customHeight="1">
      <c r="A11" s="42"/>
      <c r="C11" s="8"/>
      <c r="D11" s="8"/>
      <c r="E11" s="44">
        <v>0.02</v>
      </c>
      <c r="F11" s="8" t="s">
        <v>52</v>
      </c>
      <c r="H11" s="1" t="s">
        <v>93</v>
      </c>
    </row>
    <row r="12" spans="1:8" ht="30" customHeight="1">
      <c r="A12" s="9" t="s">
        <v>28</v>
      </c>
      <c r="B12" s="9"/>
      <c r="C12" s="9"/>
      <c r="D12" s="9"/>
      <c r="E12" s="13">
        <f ca="1">SUBTOTAL(109,ExpMar[金额])</f>
        <v>542056.88916699996</v>
      </c>
      <c r="F12" s="9"/>
      <c r="G12" s="9"/>
      <c r="H12" s="9"/>
    </row>
    <row r="14" spans="1:8" ht="30" customHeight="1">
      <c r="A14" s="7" t="s">
        <v>9</v>
      </c>
      <c r="B14" s="7" t="s">
        <v>59</v>
      </c>
      <c r="C14" s="7" t="s">
        <v>47</v>
      </c>
      <c r="D14" s="7" t="s">
        <v>46</v>
      </c>
      <c r="E14" s="7" t="s">
        <v>13</v>
      </c>
      <c r="F14" s="7" t="s">
        <v>15</v>
      </c>
      <c r="G14" s="7" t="s">
        <v>16</v>
      </c>
      <c r="H14" s="1" t="s">
        <v>92</v>
      </c>
    </row>
    <row r="15" spans="1:8" ht="30" customHeight="1">
      <c r="A15" s="12"/>
      <c r="B15" s="8"/>
      <c r="C15" s="8"/>
      <c r="D15" s="8"/>
      <c r="E15" s="17">
        <v>-558.57000000000005</v>
      </c>
      <c r="F15" s="8" t="s">
        <v>135</v>
      </c>
      <c r="G15" s="8" t="s">
        <v>141</v>
      </c>
      <c r="H15" s="1" t="s">
        <v>135</v>
      </c>
    </row>
    <row r="16" spans="1:8" ht="30" customHeight="1">
      <c r="A16" s="12"/>
      <c r="B16" s="8"/>
      <c r="C16" s="8"/>
      <c r="D16" s="8"/>
      <c r="E16" s="131">
        <v>-1445.84</v>
      </c>
      <c r="F16" s="8" t="s">
        <v>137</v>
      </c>
      <c r="G16" s="8"/>
      <c r="H16" s="1" t="s">
        <v>137</v>
      </c>
    </row>
    <row r="17" spans="1:8" ht="30" customHeight="1">
      <c r="A17" s="12"/>
      <c r="B17" s="8"/>
      <c r="C17" s="8" t="e" vm="6">
        <v>#VALUE!</v>
      </c>
      <c r="D17" s="137">
        <v>0.01</v>
      </c>
      <c r="E17" s="131" cm="1">
        <f t="array" aca="1" ref="E17" ca="1">ExpMar投资组合[[#This Row],[特殊币种]]*_FV(ExpMar投资组合[[#This Row],[汇率（特殊-CNY）]],"Price")</f>
        <v>7.1264000000000008E-2</v>
      </c>
      <c r="F17" s="8" t="s">
        <v>86</v>
      </c>
      <c r="G17" s="8"/>
      <c r="H17" s="1" t="s">
        <v>86</v>
      </c>
    </row>
    <row r="18" spans="1:8" ht="30" customHeight="1">
      <c r="A18" s="12"/>
      <c r="B18" s="8"/>
      <c r="C18" s="8"/>
      <c r="D18" s="8"/>
      <c r="E18" s="131">
        <v>-1154.6600000000001</v>
      </c>
      <c r="F18" s="8" t="s">
        <v>139</v>
      </c>
      <c r="G18" s="8"/>
      <c r="H18" s="1" t="s">
        <v>139</v>
      </c>
    </row>
    <row r="19" spans="1:8" ht="30" customHeight="1">
      <c r="A19" s="9" t="s">
        <v>28</v>
      </c>
      <c r="B19" s="9"/>
      <c r="C19" s="9"/>
      <c r="D19" s="9"/>
      <c r="E19" s="18">
        <f ca="1">SUBTOTAL(109,ExpMar投资组合[金额])</f>
        <v>-3158.998736</v>
      </c>
      <c r="F19" s="9"/>
      <c r="G19" s="9"/>
      <c r="H19" s="9"/>
    </row>
  </sheetData>
  <mergeCells count="1">
    <mergeCell ref="A1:C1"/>
  </mergeCells>
  <phoneticPr fontId="10" type="noConversion"/>
  <dataValidations count="12">
    <dataValidation allowBlank="1" showInputMessage="1" showErrorMessage="1" prompt="此工作表中的表上列出了详细开支的大纲。单元格 D1 和 E1 中分别是“摘要”工作表和“提示”工作表的导航超链接" sqref="A1:C1" xr:uid="{00000000-0002-0000-0400-000001000000}"/>
    <dataValidation allowBlank="1" showInputMessage="1" showErrorMessage="1" prompt="“摘要”工作表的导航超链接" sqref="D1" xr:uid="{00000000-0002-0000-0400-000002000000}"/>
    <dataValidation allowBlank="1" showInputMessage="1" showErrorMessage="1" prompt="“提示”工作表的导航超链接" sqref="E1" xr:uid="{00000000-0002-0000-0400-000003000000}"/>
    <dataValidation allowBlank="1" showInputMessage="1" showErrorMessage="1" prompt="在此列中输入支出日期" sqref="A2 A14:A15" xr:uid="{00000000-0002-0000-0400-000004000000}"/>
    <dataValidation allowBlank="1" showInputMessage="1" showErrorMessage="1" prompt="在此列中输入支出金额" sqref="E2 E14:E15" xr:uid="{00000000-0002-0000-0400-000006000000}"/>
    <dataValidation allowBlank="1" showInputMessage="1" showErrorMessage="1" prompt="由“摘要”工作表中“支出摘要”表的“支出”列自动填充的支出类别列表。按 Alt+向下键可浏览列表。按 Enter 可选择类别" sqref="F2 F14" xr:uid="{00000000-0002-0000-0400-000007000000}"/>
    <dataValidation allowBlank="1" showInputMessage="1" showErrorMessage="1" prompt="在此列中输入支出描述" sqref="G2 G14:G15" xr:uid="{00000000-0002-0000-0400-000008000000}"/>
    <dataValidation allowBlank="1" showInputMessage="1" showErrorMessage="1" prompt="在此列中输入 PO#" sqref="B2:D2 B14:D15" xr:uid="{00000000-0002-0000-0400-000005000000}"/>
    <dataValidation type="custom" errorStyle="warning" allowBlank="1" showInputMessage="1" showErrorMessage="1" errorTitle="金额验证" error="金额应为数字。" sqref="E16:E18 E3:E11" xr:uid="{00000000-0002-0000-0400-000009000000}">
      <formula1>ISNUMBER($E3)</formula1>
    </dataValidation>
    <dataValidation type="custom" errorStyle="warning" allowBlank="1" showInputMessage="1" showErrorMessage="1" error="需输入 8 月的日期，以便将此支出添加到“摘要”表" sqref="A16:A18" xr:uid="{88639BAF-1A20-4C49-ABFF-44C59C9668EA}">
      <formula1>MONTH($A16)=8</formula1>
    </dataValidation>
    <dataValidation type="list" errorStyle="warning" allowBlank="1" showInputMessage="1" showErrorMessage="1" error="应从下拉列表中选择开支，以便“摘要”工作表中包含该开支" sqref="F3:F11" xr:uid="{E9070456-78C9-49B7-B220-D94E7F3E9428}">
      <formula1>ExpenseCategories</formula1>
    </dataValidation>
    <dataValidation type="custom" errorStyle="warning" allowBlank="1" showInputMessage="1" showErrorMessage="1" error="需输入 3 月的日期，以便将此支出添加到“摘要”表" sqref="A3:A11" xr:uid="{00000000-0002-0000-0400-00000A000000}">
      <formula1>MONTH($A3)=3</formula1>
    </dataValidation>
  </dataValidations>
  <hyperlinks>
    <hyperlink ref="D1" location="总资产摘要!A1" tooltip="选择以查看摘要" display="摘要" xr:uid="{00000000-0004-0000-0400-000000000000}"/>
    <hyperlink ref="E1" location="提示!A1" tooltip="选择以导航到“提示”工作表" display="提示" xr:uid="{00000000-0004-0000-0400-000001000000}"/>
  </hyperlink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812BECF-1427-4AD1-8584-B866490A37EC}">
          <x14:formula1>
            <xm:f>投资收益表!$A$5:$A$11</xm:f>
          </x14:formula1>
          <xm:sqref>H15:H18 H3:H11</xm:sqref>
        </x14:dataValidation>
        <x14:dataValidation type="list" allowBlank="1" showInputMessage="1" showErrorMessage="1" xr:uid="{BBE43048-A288-4AE8-A491-3F282B3FD65F}">
          <x14:formula1>
            <xm:f>投资收益表!$A$5:$A$8</xm:f>
          </x14:formula1>
          <xm:sqref>F15:F18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  <pageSetUpPr autoPageBreaks="0" fitToPage="1"/>
  </sheetPr>
  <dimension ref="A1:H19"/>
  <sheetViews>
    <sheetView showGridLines="0" workbookViewId="0">
      <selection activeCell="A12" sqref="A12:XFD12"/>
    </sheetView>
  </sheetViews>
  <sheetFormatPr defaultColWidth="9.14453125" defaultRowHeight="30" customHeight="1"/>
  <cols>
    <col min="1" max="1" width="19.63671875" style="1" customWidth="1"/>
    <col min="2" max="2" width="15.6015625" style="1" hidden="1" customWidth="1"/>
    <col min="3" max="5" width="15.6015625" style="1" customWidth="1"/>
    <col min="6" max="7" width="30.53515625" style="1" customWidth="1"/>
    <col min="8" max="16384" width="9.14453125" style="1"/>
  </cols>
  <sheetData>
    <row r="1" spans="1:8" ht="35.1" customHeight="1">
      <c r="A1" s="168" t="s">
        <v>20</v>
      </c>
      <c r="B1" s="168"/>
      <c r="C1" s="168"/>
      <c r="D1" s="168"/>
      <c r="E1" s="169"/>
      <c r="F1" s="33" t="s">
        <v>62</v>
      </c>
      <c r="G1" s="11" t="s">
        <v>6</v>
      </c>
    </row>
    <row r="2" spans="1:8" ht="17.100000000000001" customHeight="1">
      <c r="A2" s="10" t="s">
        <v>9</v>
      </c>
      <c r="B2" s="10" t="s">
        <v>10</v>
      </c>
      <c r="C2" s="10" t="s">
        <v>47</v>
      </c>
      <c r="D2" s="10" t="s">
        <v>46</v>
      </c>
      <c r="E2" s="10" t="s">
        <v>69</v>
      </c>
      <c r="F2" s="10" t="s">
        <v>15</v>
      </c>
      <c r="G2" s="10" t="s">
        <v>16</v>
      </c>
      <c r="H2" s="1" t="s">
        <v>91</v>
      </c>
    </row>
    <row r="3" spans="1:8" ht="30" customHeight="1">
      <c r="A3" s="12"/>
      <c r="B3" s="8"/>
      <c r="C3" s="8"/>
      <c r="D3" s="8"/>
      <c r="E3" s="14">
        <v>353671.01</v>
      </c>
      <c r="F3" s="8" t="s">
        <v>33</v>
      </c>
      <c r="G3" s="8"/>
      <c r="H3" s="1" t="s">
        <v>88</v>
      </c>
    </row>
    <row r="4" spans="1:8" ht="30" customHeight="1">
      <c r="A4" s="12"/>
      <c r="B4" s="8"/>
      <c r="C4" s="8"/>
      <c r="D4" s="8"/>
      <c r="E4" s="14">
        <v>53.08</v>
      </c>
      <c r="F4" s="8" t="s">
        <v>35</v>
      </c>
      <c r="G4" s="8"/>
      <c r="H4" s="1" t="s">
        <v>93</v>
      </c>
    </row>
    <row r="5" spans="1:8" ht="30" customHeight="1">
      <c r="A5" s="12"/>
      <c r="B5" s="8"/>
      <c r="C5" s="8"/>
      <c r="D5" s="8"/>
      <c r="E5" s="14">
        <v>140024.49</v>
      </c>
      <c r="F5" s="8" t="s">
        <v>31</v>
      </c>
      <c r="G5" s="8"/>
      <c r="H5" s="1" t="s">
        <v>85</v>
      </c>
    </row>
    <row r="6" spans="1:8" ht="30" customHeight="1">
      <c r="A6" s="12"/>
      <c r="B6" s="8"/>
      <c r="C6" s="8" t="e" vm="5">
        <v>#VALUE!</v>
      </c>
      <c r="D6" s="21">
        <v>0.01</v>
      </c>
      <c r="E6" s="14" cm="1">
        <f t="array" aca="1" ref="E6" ca="1">_FV(ExpApr[[#This Row],[汇率（特殊-CNY）]],"Price")*ExpApr[[#This Row],[特殊币种]]</f>
        <v>9.1669999999999998E-3</v>
      </c>
      <c r="F6" s="8" t="s">
        <v>43</v>
      </c>
      <c r="G6" s="8"/>
      <c r="H6" s="1" t="s">
        <v>93</v>
      </c>
    </row>
    <row r="7" spans="1:8" ht="30" customHeight="1">
      <c r="A7" s="12"/>
      <c r="B7" s="8"/>
      <c r="C7" s="8">
        <v>7.29</v>
      </c>
      <c r="D7" s="19">
        <v>1229.17</v>
      </c>
      <c r="E7" s="14">
        <v>7988.15</v>
      </c>
      <c r="F7" s="8" t="s">
        <v>41</v>
      </c>
      <c r="G7" s="8" t="s">
        <v>149</v>
      </c>
      <c r="H7" s="1" t="s">
        <v>86</v>
      </c>
    </row>
    <row r="8" spans="1:8" ht="30" customHeight="1">
      <c r="A8" s="12"/>
      <c r="B8" s="8"/>
      <c r="C8" s="8"/>
      <c r="D8" s="8"/>
      <c r="E8" s="14">
        <v>48651.67</v>
      </c>
      <c r="F8" s="8" t="s">
        <v>39</v>
      </c>
      <c r="G8" s="8" t="s">
        <v>149</v>
      </c>
      <c r="H8" s="1" t="s">
        <v>85</v>
      </c>
    </row>
    <row r="9" spans="1:8" ht="30" customHeight="1">
      <c r="A9" s="12"/>
      <c r="B9" s="8"/>
      <c r="C9" s="8"/>
      <c r="D9" s="8"/>
      <c r="E9" s="14">
        <v>0</v>
      </c>
      <c r="F9" s="8" t="s">
        <v>37</v>
      </c>
      <c r="G9" s="8"/>
      <c r="H9" s="1" t="s">
        <v>89</v>
      </c>
    </row>
    <row r="10" spans="1:8" ht="30" customHeight="1">
      <c r="A10" s="12"/>
      <c r="B10" s="8"/>
      <c r="C10" s="8"/>
      <c r="D10" s="8"/>
      <c r="E10" s="14">
        <f>1.64+0.26</f>
        <v>1.9</v>
      </c>
      <c r="F10" s="8" t="s">
        <v>50</v>
      </c>
      <c r="G10" s="8"/>
      <c r="H10" s="1" t="s">
        <v>93</v>
      </c>
    </row>
    <row r="11" spans="1:8" ht="30" customHeight="1">
      <c r="A11" s="12"/>
      <c r="B11" s="8"/>
      <c r="C11" s="8"/>
      <c r="D11" s="8"/>
      <c r="E11" s="14">
        <v>0.04</v>
      </c>
      <c r="F11" s="8" t="s">
        <v>52</v>
      </c>
      <c r="G11" s="8"/>
      <c r="H11" s="1" t="s">
        <v>93</v>
      </c>
    </row>
    <row r="12" spans="1:8" ht="29.45" customHeight="1">
      <c r="A12" s="9" t="s">
        <v>28</v>
      </c>
      <c r="B12" s="9"/>
      <c r="C12" s="9"/>
      <c r="D12" s="9"/>
      <c r="E12" s="13">
        <f ca="1">SUBTOTAL(109,ExpApr[金额])</f>
        <v>550390.34916700015</v>
      </c>
      <c r="F12" s="9"/>
      <c r="G12" s="9"/>
      <c r="H12" s="9"/>
    </row>
    <row r="14" spans="1:8" ht="30" customHeight="1">
      <c r="A14" s="7" t="s">
        <v>9</v>
      </c>
      <c r="B14" s="7" t="s">
        <v>59</v>
      </c>
      <c r="C14" s="7" t="s">
        <v>47</v>
      </c>
      <c r="D14" s="7" t="s">
        <v>46</v>
      </c>
      <c r="E14" s="7" t="s">
        <v>13</v>
      </c>
      <c r="F14" s="7" t="s">
        <v>15</v>
      </c>
      <c r="G14" s="7" t="s">
        <v>16</v>
      </c>
      <c r="H14" s="1" t="s">
        <v>92</v>
      </c>
    </row>
    <row r="15" spans="1:8" ht="30" customHeight="1">
      <c r="A15" s="12"/>
      <c r="B15" s="8"/>
      <c r="C15" s="8"/>
      <c r="D15" s="8"/>
      <c r="E15" s="17">
        <v>1059.07</v>
      </c>
      <c r="F15" s="8" t="s">
        <v>135</v>
      </c>
      <c r="G15" s="8" t="s">
        <v>141</v>
      </c>
      <c r="H15" s="1" t="s">
        <v>135</v>
      </c>
    </row>
    <row r="16" spans="1:8" ht="30" customHeight="1">
      <c r="A16" s="12"/>
      <c r="B16" s="8"/>
      <c r="C16" s="8"/>
      <c r="D16" s="8"/>
      <c r="E16" s="131">
        <v>2811.09</v>
      </c>
      <c r="F16" s="8" t="s">
        <v>137</v>
      </c>
      <c r="G16" s="8"/>
      <c r="H16" s="1" t="s">
        <v>137</v>
      </c>
    </row>
    <row r="17" spans="1:8" ht="30" customHeight="1">
      <c r="A17" s="12"/>
      <c r="B17" s="8"/>
      <c r="C17" s="8" t="e" vm="6">
        <v>#VALUE!</v>
      </c>
      <c r="D17" s="137">
        <v>0.01</v>
      </c>
      <c r="E17" s="131" cm="1">
        <f t="array" aca="1" ref="E17" ca="1">ExpApr投资组合[[#This Row],[特殊币种]]*_FV(ExpApr投资组合[[#This Row],[汇率（特殊-CNY）]],"Price")</f>
        <v>7.1264000000000008E-2</v>
      </c>
      <c r="F17" s="8" t="s">
        <v>86</v>
      </c>
      <c r="G17" s="8"/>
      <c r="H17" s="1" t="s">
        <v>86</v>
      </c>
    </row>
    <row r="18" spans="1:8" ht="30" customHeight="1">
      <c r="A18" s="12"/>
      <c r="B18" s="8"/>
      <c r="C18" s="8"/>
      <c r="D18" s="8"/>
      <c r="E18" s="131">
        <v>1325.68</v>
      </c>
      <c r="F18" s="8" t="s">
        <v>139</v>
      </c>
      <c r="G18" s="8"/>
      <c r="H18" s="1" t="s">
        <v>139</v>
      </c>
    </row>
    <row r="19" spans="1:8" ht="30" customHeight="1">
      <c r="A19" s="9" t="s">
        <v>28</v>
      </c>
      <c r="B19" s="9"/>
      <c r="C19" s="9"/>
      <c r="D19" s="9"/>
      <c r="E19" s="18">
        <f ca="1">SUBTOTAL(109,ExpApr投资组合[金额])</f>
        <v>5195.9112640000003</v>
      </c>
      <c r="F19" s="9"/>
      <c r="G19" s="9"/>
      <c r="H19" s="9"/>
    </row>
  </sheetData>
  <mergeCells count="1">
    <mergeCell ref="A1:E1"/>
  </mergeCells>
  <phoneticPr fontId="10" type="noConversion"/>
  <dataValidations count="12">
    <dataValidation allowBlank="1" showInputMessage="1" showErrorMessage="1" prompt="此工作表中的表上列出了详细开支的大纲。单元格 D1 和 E1 中分别是“摘要”工作表和“提示”工作表的导航超链接" sqref="A1:E1" xr:uid="{00000000-0002-0000-0500-000001000000}"/>
    <dataValidation allowBlank="1" showInputMessage="1" showErrorMessage="1" prompt="“摘要”工作表的导航超链接" sqref="F1" xr:uid="{00000000-0002-0000-0500-000002000000}"/>
    <dataValidation allowBlank="1" showInputMessage="1" showErrorMessage="1" prompt="“提示”工作表的导航超链接" sqref="G1" xr:uid="{00000000-0002-0000-0500-000003000000}"/>
    <dataValidation allowBlank="1" showInputMessage="1" showErrorMessage="1" prompt="在此列中输入支出日期" sqref="A2 A14:A15" xr:uid="{00000000-0002-0000-0500-000004000000}"/>
    <dataValidation allowBlank="1" showInputMessage="1" showErrorMessage="1" prompt="在此列中输入 PO#" sqref="B2:D2 B14:D15" xr:uid="{00000000-0002-0000-0500-000005000000}"/>
    <dataValidation allowBlank="1" showInputMessage="1" showErrorMessage="1" prompt="在此列中输入支出金额" sqref="E2 E14:E15" xr:uid="{00000000-0002-0000-0500-000006000000}"/>
    <dataValidation allowBlank="1" showInputMessage="1" showErrorMessage="1" prompt="由“摘要”工作表中“支出摘要”表的“支出”列自动填充的支出类别列表。按 Alt+向下键可浏览列表。按 Enter 可选择类别" sqref="F2 F14" xr:uid="{00000000-0002-0000-0500-000007000000}"/>
    <dataValidation allowBlank="1" showInputMessage="1" showErrorMessage="1" prompt="在此列中输入支出描述" sqref="G2 G14:G15" xr:uid="{00000000-0002-0000-0500-000008000000}"/>
    <dataValidation type="custom" errorStyle="warning" allowBlank="1" showInputMessage="1" showErrorMessage="1" errorTitle="金额验证" error="金额应为数字。" sqref="E16:E18 E3:E11" xr:uid="{00000000-0002-0000-0500-000009000000}">
      <formula1>ISNUMBER($E3)</formula1>
    </dataValidation>
    <dataValidation type="custom" errorStyle="warning" allowBlank="1" showInputMessage="1" showErrorMessage="1" error="需输入 8 月的日期，以便将此支出添加到“摘要”表" sqref="A16:A18" xr:uid="{A25B06BF-8E6E-4EBB-873F-0B9BE41AF965}">
      <formula1>MONTH($A16)=8</formula1>
    </dataValidation>
    <dataValidation type="list" errorStyle="warning" allowBlank="1" showInputMessage="1" showErrorMessage="1" error="应从下拉列表中选择开支，以便“摘要”工作表中包含该开支" sqref="F3:F11" xr:uid="{10178C4C-393C-4719-AD59-076829AF3713}">
      <formula1>ExpenseCategories</formula1>
    </dataValidation>
    <dataValidation type="custom" errorStyle="warning" allowBlank="1" showInputMessage="1" showErrorMessage="1" error="需输入 4 月的日期，以便将此支出添加到“摘要”表" sqref="A3:A11" xr:uid="{00000000-0002-0000-0500-00000A000000}">
      <formula1>MONTH($A3)=4</formula1>
    </dataValidation>
  </dataValidations>
  <hyperlinks>
    <hyperlink ref="F1" location="总资产摘要!A1" tooltip="选择以查看摘要" display="摘要" xr:uid="{00000000-0004-0000-0500-000000000000}"/>
    <hyperlink ref="G1" location="提示!A1" tooltip="选择以导航到“提示”工作表" display="提示" xr:uid="{00000000-0004-0000-0500-000001000000}"/>
  </hyperlink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E938EC-7B75-478D-8003-F92D10B880C1}">
          <x14:formula1>
            <xm:f>投资收益表!$A$5:$A$11</xm:f>
          </x14:formula1>
          <xm:sqref>H15:H18 H3:H11</xm:sqref>
        </x14:dataValidation>
        <x14:dataValidation type="list" allowBlank="1" showInputMessage="1" showErrorMessage="1" xr:uid="{18E507CD-DFD6-44E7-8D92-4C904386FA1E}">
          <x14:formula1>
            <xm:f>投资收益表!$A$5:$A$8</xm:f>
          </x14:formula1>
          <xm:sqref>F15:F18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50"/>
    <pageSetUpPr autoPageBreaks="0" fitToPage="1"/>
  </sheetPr>
  <dimension ref="A1:H19"/>
  <sheetViews>
    <sheetView showGridLines="0" topLeftCell="A13" workbookViewId="0">
      <selection activeCell="E12" sqref="E12"/>
    </sheetView>
  </sheetViews>
  <sheetFormatPr defaultColWidth="9.14453125" defaultRowHeight="30" customHeight="1"/>
  <cols>
    <col min="1" max="1" width="19.63671875" style="1" customWidth="1"/>
    <col min="2" max="2" width="15.6015625" style="1" hidden="1" customWidth="1"/>
    <col min="3" max="5" width="15.6015625" style="1" customWidth="1"/>
    <col min="6" max="7" width="30.53515625" style="1" customWidth="1"/>
    <col min="8" max="16384" width="9.14453125" style="1"/>
  </cols>
  <sheetData>
    <row r="1" spans="1:8" ht="35.1" customHeight="1">
      <c r="A1" s="168" t="s">
        <v>21</v>
      </c>
      <c r="B1" s="168"/>
      <c r="C1" s="168"/>
      <c r="D1" s="168"/>
      <c r="E1" s="169"/>
      <c r="F1" s="33" t="s">
        <v>62</v>
      </c>
      <c r="G1" s="11" t="s">
        <v>6</v>
      </c>
    </row>
    <row r="2" spans="1:8" ht="17.100000000000001" customHeight="1">
      <c r="A2" s="10" t="s">
        <v>9</v>
      </c>
      <c r="B2" s="10" t="s">
        <v>10</v>
      </c>
      <c r="C2" s="10" t="s">
        <v>47</v>
      </c>
      <c r="D2" s="10" t="s">
        <v>46</v>
      </c>
      <c r="E2" s="10" t="s">
        <v>13</v>
      </c>
      <c r="F2" s="10" t="s">
        <v>15</v>
      </c>
      <c r="G2" s="10" t="s">
        <v>16</v>
      </c>
      <c r="H2" s="1" t="s">
        <v>91</v>
      </c>
    </row>
    <row r="3" spans="1:8" ht="30" customHeight="1">
      <c r="A3" s="12"/>
      <c r="B3" s="8" t="s">
        <v>11</v>
      </c>
      <c r="C3" s="8"/>
      <c r="D3" s="8"/>
      <c r="E3" s="14">
        <v>372604.37</v>
      </c>
      <c r="F3" s="8" t="s">
        <v>33</v>
      </c>
      <c r="G3" s="8"/>
      <c r="H3" s="1" t="s">
        <v>88</v>
      </c>
    </row>
    <row r="4" spans="1:8" ht="30" customHeight="1">
      <c r="A4" s="12"/>
      <c r="B4" s="8" t="s">
        <v>12</v>
      </c>
      <c r="C4" s="8"/>
      <c r="D4" s="8"/>
      <c r="E4" s="14">
        <v>52.95</v>
      </c>
      <c r="F4" s="8" t="s">
        <v>35</v>
      </c>
      <c r="G4" s="8"/>
      <c r="H4" s="1" t="s">
        <v>93</v>
      </c>
    </row>
    <row r="5" spans="1:8" ht="30" customHeight="1">
      <c r="A5" s="12"/>
      <c r="B5" s="8"/>
      <c r="C5" s="8"/>
      <c r="D5" s="8"/>
      <c r="E5" s="14">
        <v>140296.64000000001</v>
      </c>
      <c r="F5" s="8" t="s">
        <v>31</v>
      </c>
      <c r="G5" s="8"/>
      <c r="H5" s="1" t="s">
        <v>85</v>
      </c>
    </row>
    <row r="6" spans="1:8" ht="30" customHeight="1">
      <c r="A6" s="12"/>
      <c r="B6" s="8"/>
      <c r="C6" s="8" t="e" vm="5">
        <v>#VALUE!</v>
      </c>
      <c r="D6" s="21">
        <v>0.01</v>
      </c>
      <c r="E6" s="14" cm="1">
        <f t="array" aca="1" ref="E6" ca="1">_FV(ExpMay[[#This Row],[汇率（特殊-CNY）]],"Price")*ExpMay[[#This Row],[特殊币种]]</f>
        <v>9.1669999999999998E-3</v>
      </c>
      <c r="F6" s="8" t="s">
        <v>43</v>
      </c>
      <c r="G6" s="8"/>
      <c r="H6" s="1" t="s">
        <v>93</v>
      </c>
    </row>
    <row r="7" spans="1:8" ht="30" customHeight="1">
      <c r="A7" s="12"/>
      <c r="B7" s="8"/>
      <c r="C7" s="8">
        <v>7.21</v>
      </c>
      <c r="D7" s="19">
        <v>1268.8800000000001</v>
      </c>
      <c r="E7" s="14">
        <v>8321.18</v>
      </c>
      <c r="F7" s="8" t="s">
        <v>41</v>
      </c>
      <c r="G7" s="8"/>
      <c r="H7" s="1" t="s">
        <v>86</v>
      </c>
    </row>
    <row r="8" spans="1:8" ht="30" customHeight="1">
      <c r="A8" s="12"/>
      <c r="B8" s="8"/>
      <c r="C8" s="8"/>
      <c r="D8" s="8"/>
      <c r="E8" s="14">
        <v>49834.35</v>
      </c>
      <c r="F8" s="8" t="s">
        <v>39</v>
      </c>
      <c r="G8" s="8"/>
      <c r="H8" s="1" t="s">
        <v>85</v>
      </c>
    </row>
    <row r="9" spans="1:8" ht="30" customHeight="1">
      <c r="A9" s="12"/>
      <c r="B9" s="8"/>
      <c r="C9" s="8"/>
      <c r="D9" s="8"/>
      <c r="E9" s="14">
        <v>0</v>
      </c>
      <c r="F9" s="8" t="s">
        <v>37</v>
      </c>
      <c r="G9" s="8"/>
      <c r="H9" s="1" t="s">
        <v>89</v>
      </c>
    </row>
    <row r="10" spans="1:8" ht="30" customHeight="1">
      <c r="A10" s="12"/>
      <c r="B10" s="8"/>
      <c r="C10" s="8"/>
      <c r="D10" s="8"/>
      <c r="E10" s="14">
        <f>0.26+9.64</f>
        <v>9.9</v>
      </c>
      <c r="F10" s="8" t="s">
        <v>50</v>
      </c>
      <c r="G10" s="8"/>
      <c r="H10" s="1" t="s">
        <v>93</v>
      </c>
    </row>
    <row r="11" spans="1:8" ht="30" customHeight="1">
      <c r="A11" s="12"/>
      <c r="B11" s="8"/>
      <c r="C11" s="8"/>
      <c r="D11" s="8"/>
      <c r="E11" s="14">
        <v>1.04</v>
      </c>
      <c r="F11" s="8" t="s">
        <v>52</v>
      </c>
      <c r="G11" s="8"/>
      <c r="H11" s="1" t="s">
        <v>93</v>
      </c>
    </row>
    <row r="12" spans="1:8" ht="30" customHeight="1">
      <c r="A12" s="9" t="s">
        <v>28</v>
      </c>
      <c r="B12" s="9"/>
      <c r="C12" s="9"/>
      <c r="D12" s="9"/>
      <c r="E12" s="13">
        <f ca="1">SUBTOTAL(109,ExpMay[金额])</f>
        <v>571120.43916700012</v>
      </c>
      <c r="F12" s="9"/>
      <c r="G12" s="9"/>
      <c r="H12" s="9"/>
    </row>
    <row r="14" spans="1:8" ht="30" customHeight="1">
      <c r="A14" s="7" t="s">
        <v>9</v>
      </c>
      <c r="B14" s="7" t="s">
        <v>59</v>
      </c>
      <c r="C14" s="7" t="s">
        <v>47</v>
      </c>
      <c r="D14" s="7" t="s">
        <v>46</v>
      </c>
      <c r="E14" s="7" t="s">
        <v>13</v>
      </c>
      <c r="F14" s="7" t="s">
        <v>15</v>
      </c>
      <c r="G14" s="7" t="s">
        <v>16</v>
      </c>
      <c r="H14" s="1" t="s">
        <v>92</v>
      </c>
    </row>
    <row r="15" spans="1:8" ht="30" customHeight="1">
      <c r="A15" s="12"/>
      <c r="B15" s="8"/>
      <c r="C15" s="8"/>
      <c r="D15" s="8"/>
      <c r="E15" s="17">
        <v>388.65</v>
      </c>
      <c r="F15" s="8" t="s">
        <v>135</v>
      </c>
      <c r="G15" s="8" t="s">
        <v>141</v>
      </c>
      <c r="H15" s="1" t="s">
        <v>135</v>
      </c>
    </row>
    <row r="16" spans="1:8" ht="30" customHeight="1">
      <c r="A16" s="12"/>
      <c r="B16" s="8"/>
      <c r="C16" s="8"/>
      <c r="D16" s="8"/>
      <c r="E16" s="131">
        <v>1088.01</v>
      </c>
      <c r="F16" s="8" t="s">
        <v>137</v>
      </c>
      <c r="G16" s="8"/>
      <c r="H16" s="1" t="s">
        <v>137</v>
      </c>
    </row>
    <row r="17" spans="1:8" ht="30" customHeight="1">
      <c r="A17" s="12"/>
      <c r="B17" s="8"/>
      <c r="C17" s="8" t="e" vm="6">
        <v>#VALUE!</v>
      </c>
      <c r="D17" s="137">
        <v>0.01</v>
      </c>
      <c r="E17" s="131" cm="1">
        <f t="array" aca="1" ref="E17" ca="1">ExpMay投资组合[[#This Row],[特殊币种]]*_FV(ExpMay投资组合[[#This Row],[汇率（特殊-CNY）]],"Price")</f>
        <v>7.1264000000000008E-2</v>
      </c>
      <c r="F17" s="8" t="s">
        <v>86</v>
      </c>
      <c r="G17" s="8"/>
      <c r="H17" s="1" t="s">
        <v>86</v>
      </c>
    </row>
    <row r="18" spans="1:8" ht="30" customHeight="1">
      <c r="A18" s="12"/>
      <c r="B18" s="8"/>
      <c r="C18" s="8"/>
      <c r="D18" s="8"/>
      <c r="E18" s="131">
        <v>682.14</v>
      </c>
      <c r="F18" s="8" t="s">
        <v>139</v>
      </c>
      <c r="G18" s="8"/>
      <c r="H18" s="1" t="s">
        <v>139</v>
      </c>
    </row>
    <row r="19" spans="1:8" ht="30" customHeight="1">
      <c r="A19" s="9" t="s">
        <v>28</v>
      </c>
      <c r="B19" s="9"/>
      <c r="C19" s="9"/>
      <c r="D19" s="9"/>
      <c r="E19" s="18">
        <f ca="1">SUBTOTAL(109,ExpMay投资组合[金额])</f>
        <v>2158.8712639999999</v>
      </c>
      <c r="F19" s="9"/>
      <c r="G19" s="9"/>
      <c r="H19" s="9"/>
    </row>
  </sheetData>
  <mergeCells count="1">
    <mergeCell ref="A1:E1"/>
  </mergeCells>
  <phoneticPr fontId="10" type="noConversion"/>
  <dataValidations count="12">
    <dataValidation allowBlank="1" showInputMessage="1" showErrorMessage="1" prompt="此工作表中的表上列出了详细开支的大纲。单元格 D1 和 E1 中分别是“摘要”工作表和“提示”工作表的导航超链接" sqref="A1:E1" xr:uid="{00000000-0002-0000-0600-000003000000}"/>
    <dataValidation allowBlank="1" showInputMessage="1" showErrorMessage="1" prompt="“摘要”工作表的导航超链接" sqref="F1" xr:uid="{00000000-0002-0000-0600-000004000000}"/>
    <dataValidation allowBlank="1" showInputMessage="1" showErrorMessage="1" prompt="“提示”工作表的导航超链接" sqref="G1" xr:uid="{00000000-0002-0000-0600-000005000000}"/>
    <dataValidation allowBlank="1" showInputMessage="1" showErrorMessage="1" prompt="在此列中输入支出日期" sqref="A2 A14:A15" xr:uid="{00000000-0002-0000-0600-000006000000}"/>
    <dataValidation allowBlank="1" showInputMessage="1" showErrorMessage="1" prompt="在此列中输入 PO#" sqref="B2:D2 B14:D15" xr:uid="{00000000-0002-0000-0600-000007000000}"/>
    <dataValidation allowBlank="1" showInputMessage="1" showErrorMessage="1" prompt="在此列中输入支出金额" sqref="E2 E14:E15" xr:uid="{00000000-0002-0000-0600-000008000000}"/>
    <dataValidation allowBlank="1" showInputMessage="1" showErrorMessage="1" prompt="由“摘要”工作表中“支出摘要”表的“支出”列自动填充的支出类别列表。按 Alt+向下键可浏览列表。按 Enter 可选择类别" sqref="F2 F14" xr:uid="{00000000-0002-0000-0600-000009000000}"/>
    <dataValidation allowBlank="1" showInputMessage="1" showErrorMessage="1" prompt="在此列中输入支出描述" sqref="G2 G14:G15" xr:uid="{00000000-0002-0000-0600-00000A000000}"/>
    <dataValidation type="custom" errorStyle="warning" allowBlank="1" showInputMessage="1" showErrorMessage="1" errorTitle="金额验证" error="金额应为数字。" sqref="E16:E18 E3:E11" xr:uid="{00000000-0002-0000-0600-000000000000}">
      <formula1>ISNUMBER($E3)</formula1>
    </dataValidation>
    <dataValidation type="custom" errorStyle="warning" allowBlank="1" showInputMessage="1" showErrorMessage="1" error="需输入 8 月的日期，以便将此支出添加到“摘要”表" sqref="A16:A18" xr:uid="{E2473B48-675A-4B2F-B7BC-5EBBD6F15781}">
      <formula1>MONTH($A16)=8</formula1>
    </dataValidation>
    <dataValidation type="list" errorStyle="warning" allowBlank="1" showInputMessage="1" showErrorMessage="1" error="应从下拉列表中选择开支，以便“摘要”工作表中包含该开支" sqref="F3:F11" xr:uid="{484B4A41-1041-463C-A5FC-E8714D5DA99F}">
      <formula1>ExpenseCategories</formula1>
    </dataValidation>
    <dataValidation type="custom" errorStyle="warning" allowBlank="1" showInputMessage="1" showErrorMessage="1" error="需输入 5 月的日期，以便将此支出添加到“摘要”表" sqref="A3:A11" xr:uid="{00000000-0002-0000-0600-000001000000}">
      <formula1>MONTH($A3)=5</formula1>
    </dataValidation>
  </dataValidations>
  <hyperlinks>
    <hyperlink ref="F1" location="总资产摘要!A1" tooltip="选择以查看摘要" display="摘要" xr:uid="{00000000-0004-0000-0600-000000000000}"/>
    <hyperlink ref="G1" location="提示!A1" tooltip="选择以导航到“提示”工作表" display="提示" xr:uid="{00000000-0004-0000-0600-000001000000}"/>
  </hyperlink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ACA84F-DDD1-4F63-971E-CDD6E84A2F1D}">
          <x14:formula1>
            <xm:f>投资收益表!$A$5:$A$11</xm:f>
          </x14:formula1>
          <xm:sqref>H15:H18 H3:H11</xm:sqref>
        </x14:dataValidation>
        <x14:dataValidation type="list" allowBlank="1" showInputMessage="1" showErrorMessage="1" xr:uid="{4048B844-709A-4A99-A2C7-7EBF33270F34}">
          <x14:formula1>
            <xm:f>投资收益表!$A$5:$A$8</xm:f>
          </x14:formula1>
          <xm:sqref>F15:F18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F0"/>
    <pageSetUpPr autoPageBreaks="0" fitToPage="1"/>
  </sheetPr>
  <dimension ref="A1:H19"/>
  <sheetViews>
    <sheetView showGridLines="0" workbookViewId="0">
      <selection activeCell="A9" sqref="A9:XFD9"/>
    </sheetView>
  </sheetViews>
  <sheetFormatPr defaultColWidth="9.14453125" defaultRowHeight="30" customHeight="1"/>
  <cols>
    <col min="1" max="1" width="19.63671875" style="1" customWidth="1"/>
    <col min="2" max="2" width="15.6015625" style="1" hidden="1" customWidth="1"/>
    <col min="3" max="5" width="15.6015625" style="1" customWidth="1"/>
    <col min="6" max="7" width="30.53515625" style="1" customWidth="1"/>
    <col min="8" max="16384" width="9.14453125" style="1"/>
  </cols>
  <sheetData>
    <row r="1" spans="1:8" ht="35.1" customHeight="1">
      <c r="A1" s="168" t="s">
        <v>22</v>
      </c>
      <c r="B1" s="168"/>
      <c r="C1" s="168"/>
      <c r="D1" s="168"/>
      <c r="E1" s="169"/>
      <c r="F1" s="33" t="s">
        <v>62</v>
      </c>
      <c r="G1" s="11" t="s">
        <v>6</v>
      </c>
    </row>
    <row r="2" spans="1:8" ht="17.100000000000001" customHeight="1">
      <c r="A2" s="10" t="s">
        <v>9</v>
      </c>
      <c r="B2" s="10" t="s">
        <v>10</v>
      </c>
      <c r="C2" s="10" t="s">
        <v>47</v>
      </c>
      <c r="D2" s="10" t="s">
        <v>46</v>
      </c>
      <c r="E2" s="10" t="s">
        <v>13</v>
      </c>
      <c r="F2" s="10" t="s">
        <v>15</v>
      </c>
      <c r="G2" s="10" t="s">
        <v>16</v>
      </c>
      <c r="H2" s="1" t="s">
        <v>91</v>
      </c>
    </row>
    <row r="3" spans="1:8" ht="30" customHeight="1">
      <c r="A3" s="12"/>
      <c r="B3" s="8"/>
      <c r="C3" s="8"/>
      <c r="D3" s="8"/>
      <c r="E3" s="14">
        <v>153397.45000000001</v>
      </c>
      <c r="F3" s="8" t="s">
        <v>33</v>
      </c>
      <c r="G3" s="8" t="s">
        <v>17</v>
      </c>
      <c r="H3" s="1" t="s">
        <v>88</v>
      </c>
    </row>
    <row r="4" spans="1:8" ht="30" customHeight="1">
      <c r="A4" s="12"/>
      <c r="B4" s="8"/>
      <c r="C4" s="8"/>
      <c r="D4" s="8"/>
      <c r="E4" s="14">
        <v>10458.89</v>
      </c>
      <c r="F4" s="8" t="s">
        <v>35</v>
      </c>
      <c r="G4" s="8"/>
      <c r="H4" s="1" t="s">
        <v>93</v>
      </c>
    </row>
    <row r="5" spans="1:8" ht="30" customHeight="1">
      <c r="A5" s="12"/>
      <c r="B5" s="8"/>
      <c r="C5" s="8"/>
      <c r="D5" s="8"/>
      <c r="E5" s="14">
        <v>21009.23</v>
      </c>
      <c r="F5" s="8" t="s">
        <v>31</v>
      </c>
      <c r="G5" s="8"/>
      <c r="H5" s="1" t="s">
        <v>85</v>
      </c>
    </row>
    <row r="6" spans="1:8" ht="30" customHeight="1">
      <c r="A6" s="12"/>
      <c r="B6" s="8"/>
      <c r="C6" s="8" t="e" vm="6">
        <v>#VALUE!</v>
      </c>
      <c r="D6" s="20">
        <v>800</v>
      </c>
      <c r="E6" s="14" cm="1">
        <f t="array" aca="1" ref="E6" ca="1">_FV(ExpJun[[#This Row],[汇率（特殊-CNY）]],"Price")*ExpJun[[#This Row],[特殊币种]]</f>
        <v>5701.12</v>
      </c>
      <c r="F6" s="8" t="s">
        <v>43</v>
      </c>
      <c r="G6" s="8"/>
      <c r="H6" s="1" t="s">
        <v>93</v>
      </c>
    </row>
    <row r="7" spans="1:8" ht="30" customHeight="1">
      <c r="A7" s="12"/>
      <c r="B7" s="8"/>
      <c r="C7" s="8">
        <v>7.18</v>
      </c>
      <c r="D7" s="19">
        <v>1269.8499999999999</v>
      </c>
      <c r="E7" s="14">
        <f>ExpJun[[#This Row],[汇率（特殊-CNY）]]*ExpJun[[#This Row],[特殊币种]]</f>
        <v>9117.5229999999992</v>
      </c>
      <c r="F7" s="8" t="s">
        <v>41</v>
      </c>
      <c r="G7" s="8"/>
      <c r="H7" s="1" t="s">
        <v>86</v>
      </c>
    </row>
    <row r="8" spans="1:8" ht="30" customHeight="1">
      <c r="A8" s="12"/>
      <c r="B8" s="8"/>
      <c r="C8" s="8"/>
      <c r="D8" s="8"/>
      <c r="E8" s="14">
        <v>8484.92</v>
      </c>
      <c r="F8" s="8" t="s">
        <v>39</v>
      </c>
      <c r="G8" s="8"/>
      <c r="H8" s="1" t="s">
        <v>85</v>
      </c>
    </row>
    <row r="9" spans="1:8" ht="30" customHeight="1">
      <c r="A9" s="12"/>
      <c r="B9" s="8"/>
      <c r="C9" s="8"/>
      <c r="D9" s="8"/>
      <c r="E9" s="14">
        <v>81466.09</v>
      </c>
      <c r="F9" s="8" t="s">
        <v>37</v>
      </c>
      <c r="G9" s="8"/>
      <c r="H9" s="1" t="s">
        <v>89</v>
      </c>
    </row>
    <row r="10" spans="1:8" ht="30" customHeight="1">
      <c r="A10" s="12"/>
      <c r="B10" s="8"/>
      <c r="C10" s="8"/>
      <c r="D10" s="8"/>
      <c r="E10" s="14">
        <f>1168.89+117.2</f>
        <v>1286.0900000000001</v>
      </c>
      <c r="F10" s="8" t="s">
        <v>50</v>
      </c>
      <c r="G10" s="8"/>
      <c r="H10" s="1" t="s">
        <v>93</v>
      </c>
    </row>
    <row r="11" spans="1:8" ht="30" customHeight="1">
      <c r="A11" s="12"/>
      <c r="B11" s="8"/>
      <c r="C11" s="8"/>
      <c r="D11" s="8"/>
      <c r="E11" s="14">
        <v>310.98</v>
      </c>
      <c r="F11" s="8" t="s">
        <v>52</v>
      </c>
      <c r="G11" s="8"/>
      <c r="H11" s="1" t="s">
        <v>93</v>
      </c>
    </row>
    <row r="12" spans="1:8" ht="30" customHeight="1">
      <c r="A12" s="9" t="s">
        <v>28</v>
      </c>
      <c r="B12" s="9"/>
      <c r="C12" s="9"/>
      <c r="D12" s="9"/>
      <c r="E12" s="13">
        <f ca="1">SUBTOTAL(109,ExpJun[金额])</f>
        <v>291232.29300000001</v>
      </c>
      <c r="F12" s="9"/>
      <c r="G12" s="9"/>
      <c r="H12" s="9"/>
    </row>
    <row r="14" spans="1:8" ht="30" customHeight="1">
      <c r="A14" s="7" t="s">
        <v>9</v>
      </c>
      <c r="B14" s="7" t="s">
        <v>59</v>
      </c>
      <c r="C14" s="7" t="s">
        <v>47</v>
      </c>
      <c r="D14" s="7" t="s">
        <v>46</v>
      </c>
      <c r="E14" s="7" t="s">
        <v>13</v>
      </c>
      <c r="F14" s="7" t="s">
        <v>15</v>
      </c>
      <c r="G14" s="7" t="s">
        <v>16</v>
      </c>
      <c r="H14" s="1" t="s">
        <v>92</v>
      </c>
    </row>
    <row r="15" spans="1:8" ht="30" customHeight="1">
      <c r="A15" s="12"/>
      <c r="B15" s="8"/>
      <c r="C15" s="8"/>
      <c r="D15" s="8"/>
      <c r="E15" s="17">
        <v>626.84</v>
      </c>
      <c r="F15" s="8" t="s">
        <v>135</v>
      </c>
      <c r="G15" s="8" t="s">
        <v>141</v>
      </c>
      <c r="H15" s="1" t="s">
        <v>135</v>
      </c>
    </row>
    <row r="16" spans="1:8" ht="30" customHeight="1">
      <c r="A16" s="12"/>
      <c r="B16" s="8"/>
      <c r="C16" s="8"/>
      <c r="D16" s="8"/>
      <c r="E16" s="131">
        <v>210.78</v>
      </c>
      <c r="F16" s="8" t="s">
        <v>137</v>
      </c>
      <c r="G16" s="8"/>
      <c r="H16" s="1" t="s">
        <v>137</v>
      </c>
    </row>
    <row r="17" spans="1:8" ht="30" customHeight="1">
      <c r="A17" s="12"/>
      <c r="B17" s="8"/>
      <c r="C17" s="8" t="e" vm="6">
        <v>#VALUE!</v>
      </c>
      <c r="D17" s="137">
        <v>0.01</v>
      </c>
      <c r="E17" s="131" cm="1">
        <f t="array" aca="1" ref="E17" ca="1">ExpJun投资组合[[#This Row],[特殊币种]]*_FV(ExpJun投资组合[[#This Row],[汇率（特殊-CNY）]],"Price")</f>
        <v>7.1264000000000008E-2</v>
      </c>
      <c r="F17" s="8" t="s">
        <v>86</v>
      </c>
      <c r="G17" s="8"/>
      <c r="H17" s="1" t="s">
        <v>86</v>
      </c>
    </row>
    <row r="18" spans="1:8" ht="30" customHeight="1">
      <c r="A18" s="12"/>
      <c r="B18" s="8"/>
      <c r="C18" s="8"/>
      <c r="D18" s="8"/>
      <c r="E18" s="131">
        <v>1217.79</v>
      </c>
      <c r="F18" s="8" t="s">
        <v>139</v>
      </c>
      <c r="G18" s="8"/>
      <c r="H18" s="1" t="s">
        <v>139</v>
      </c>
    </row>
    <row r="19" spans="1:8" ht="30" customHeight="1">
      <c r="A19" s="9" t="s">
        <v>28</v>
      </c>
      <c r="B19" s="9"/>
      <c r="C19" s="9"/>
      <c r="D19" s="9"/>
      <c r="E19" s="18">
        <f ca="1">SUBTOTAL(109,ExpJun投资组合[金额])</f>
        <v>2055.481264</v>
      </c>
      <c r="F19" s="9"/>
      <c r="G19" s="9"/>
      <c r="H19" s="9"/>
    </row>
  </sheetData>
  <mergeCells count="1">
    <mergeCell ref="A1:E1"/>
  </mergeCells>
  <phoneticPr fontId="10" type="noConversion"/>
  <dataValidations count="12">
    <dataValidation allowBlank="1" showInputMessage="1" showErrorMessage="1" prompt="此工作表中的表上列出了详细开支的大纲。单元格 D1 和 E1 中分别是“摘要”工作表和“提示”工作表的导航超链接" sqref="A1:E1" xr:uid="{00000000-0002-0000-0700-000003000000}"/>
    <dataValidation allowBlank="1" showInputMessage="1" showErrorMessage="1" prompt="“摘要”工作表的导航超链接" sqref="F1" xr:uid="{00000000-0002-0000-0700-000004000000}"/>
    <dataValidation allowBlank="1" showInputMessage="1" showErrorMessage="1" prompt="“提示”工作表的导航超链接" sqref="G1" xr:uid="{00000000-0002-0000-0700-000005000000}"/>
    <dataValidation allowBlank="1" showInputMessage="1" showErrorMessage="1" prompt="在此列中输入支出日期" sqref="A2 A14:A15" xr:uid="{00000000-0002-0000-0700-000006000000}"/>
    <dataValidation allowBlank="1" showInputMessage="1" showErrorMessage="1" prompt="在此列中输入 PO#" sqref="B2:D2 B14:D15" xr:uid="{00000000-0002-0000-0700-000007000000}"/>
    <dataValidation allowBlank="1" showInputMessage="1" showErrorMessage="1" prompt="在此列中输入支出金额" sqref="E2 E14:E15" xr:uid="{00000000-0002-0000-0700-000008000000}"/>
    <dataValidation allowBlank="1" showInputMessage="1" showErrorMessage="1" prompt="由“摘要”工作表中“支出摘要”表的“支出”列自动填充的支出类别列表。按 Alt+向下键可浏览列表。按 Enter 可选择类别" sqref="F2 F14" xr:uid="{00000000-0002-0000-0700-000009000000}"/>
    <dataValidation allowBlank="1" showInputMessage="1" showErrorMessage="1" prompt="在此列中输入支出描述" sqref="G2 G14:G15" xr:uid="{00000000-0002-0000-0700-00000A000000}"/>
    <dataValidation type="custom" errorStyle="warning" allowBlank="1" showInputMessage="1" showErrorMessage="1" errorTitle="金额验证" error="金额应为数字。" sqref="E16:E18 E3:E11" xr:uid="{00000000-0002-0000-0700-000000000000}">
      <formula1>ISNUMBER($E3)</formula1>
    </dataValidation>
    <dataValidation type="custom" errorStyle="warning" allowBlank="1" showInputMessage="1" showErrorMessage="1" error="需输入 8 月的日期，以便将此支出添加到“摘要”表" sqref="A16:A18" xr:uid="{B7315F29-25BA-43CE-929A-7D9BB11648CD}">
      <formula1>MONTH($A16)=8</formula1>
    </dataValidation>
    <dataValidation type="list" errorStyle="warning" allowBlank="1" showInputMessage="1" showErrorMessage="1" error="应从下拉列表中选择开支，以便“摘要”工作表中包含该开支" sqref="F3:F11" xr:uid="{EC9EF0BC-56D2-4FD3-B86E-FC550FC61082}">
      <formula1>ExpenseCategories</formula1>
    </dataValidation>
    <dataValidation type="custom" errorStyle="warning" allowBlank="1" showInputMessage="1" showErrorMessage="1" error="需输入 6 月的日期，以便将此支出添加到“摘要”表" sqref="A3:A11" xr:uid="{00000000-0002-0000-0700-000001000000}">
      <formula1>MONTH($A3)=6</formula1>
    </dataValidation>
  </dataValidations>
  <hyperlinks>
    <hyperlink ref="F1" location="总资产摘要!A1" tooltip="选择以查看摘要" display="摘要" xr:uid="{00000000-0004-0000-0700-000000000000}"/>
    <hyperlink ref="G1" location="提示!A1" tooltip="选择以导航到“提示”工作表" display="提示" xr:uid="{00000000-0004-0000-0700-000001000000}"/>
  </hyperlink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2CDBAA-8503-42A5-9722-5A56A9EBAC3E}">
          <x14:formula1>
            <xm:f>投资收益表!$A$5:$A$11</xm:f>
          </x14:formula1>
          <xm:sqref>H15:H18 H3:H11</xm:sqref>
        </x14:dataValidation>
        <x14:dataValidation type="list" allowBlank="1" showInputMessage="1" showErrorMessage="1" xr:uid="{3D35AF4C-8E26-4A4D-8F6E-7890ECAAB93E}">
          <x14:formula1>
            <xm:f>投资收益表!$A$5:$A$8</xm:f>
          </x14:formula1>
          <xm:sqref>F15:F18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70C0"/>
    <pageSetUpPr autoPageBreaks="0" fitToPage="1"/>
  </sheetPr>
  <dimension ref="A1:H19"/>
  <sheetViews>
    <sheetView showGridLines="0" topLeftCell="A4" zoomScaleNormal="100" workbookViewId="0">
      <selection activeCell="A9" sqref="A9:XFD9"/>
    </sheetView>
  </sheetViews>
  <sheetFormatPr defaultColWidth="9.14453125" defaultRowHeight="30" customHeight="1"/>
  <cols>
    <col min="1" max="1" width="19.63671875" style="1" customWidth="1"/>
    <col min="2" max="2" width="15.6015625" style="1" hidden="1" customWidth="1"/>
    <col min="3" max="5" width="15.6015625" style="1" customWidth="1"/>
    <col min="6" max="7" width="30.53515625" style="1" customWidth="1"/>
    <col min="8" max="16384" width="9.14453125" style="1"/>
  </cols>
  <sheetData>
    <row r="1" spans="1:8" ht="35.1" customHeight="1">
      <c r="A1" s="168" t="s">
        <v>23</v>
      </c>
      <c r="B1" s="168"/>
      <c r="C1" s="168"/>
      <c r="D1" s="168"/>
      <c r="E1" s="169"/>
      <c r="F1" s="33" t="s">
        <v>62</v>
      </c>
      <c r="G1" s="11" t="s">
        <v>6</v>
      </c>
    </row>
    <row r="2" spans="1:8" ht="17.100000000000001" customHeight="1">
      <c r="A2" s="7" t="s">
        <v>9</v>
      </c>
      <c r="B2" s="7" t="s">
        <v>10</v>
      </c>
      <c r="C2" s="10" t="s">
        <v>47</v>
      </c>
      <c r="D2" s="10" t="s">
        <v>46</v>
      </c>
      <c r="E2" s="7" t="s">
        <v>13</v>
      </c>
      <c r="F2" s="7" t="s">
        <v>15</v>
      </c>
      <c r="G2" s="7" t="s">
        <v>16</v>
      </c>
      <c r="H2" s="1" t="s">
        <v>91</v>
      </c>
    </row>
    <row r="3" spans="1:8" ht="30" customHeight="1">
      <c r="A3" s="12"/>
      <c r="B3" s="8"/>
      <c r="C3" s="8"/>
      <c r="D3" s="8"/>
      <c r="E3" s="14">
        <v>162079.94</v>
      </c>
      <c r="F3" s="8" t="s">
        <v>33</v>
      </c>
      <c r="G3" s="8" t="s">
        <v>17</v>
      </c>
      <c r="H3" s="1" t="s">
        <v>88</v>
      </c>
    </row>
    <row r="4" spans="1:8" ht="30" customHeight="1">
      <c r="A4" s="12"/>
      <c r="B4" s="8"/>
      <c r="C4" s="8"/>
      <c r="D4" s="8"/>
      <c r="E4" s="14">
        <v>12612.22</v>
      </c>
      <c r="F4" s="8" t="s">
        <v>35</v>
      </c>
      <c r="G4" s="8"/>
      <c r="H4" s="1" t="s">
        <v>93</v>
      </c>
    </row>
    <row r="5" spans="1:8" ht="30" customHeight="1">
      <c r="A5" s="12"/>
      <c r="B5" s="8"/>
      <c r="C5" s="8"/>
      <c r="D5" s="8"/>
      <c r="E5" s="14">
        <v>20932.77</v>
      </c>
      <c r="F5" s="8" t="s">
        <v>31</v>
      </c>
      <c r="G5" s="8"/>
      <c r="H5" s="1" t="s">
        <v>85</v>
      </c>
    </row>
    <row r="6" spans="1:8" ht="30" customHeight="1">
      <c r="A6" s="12"/>
      <c r="B6" s="8"/>
      <c r="C6" s="8" t="e" vm="6">
        <v>#VALUE!</v>
      </c>
      <c r="D6" s="20">
        <v>0.01</v>
      </c>
      <c r="E6" s="14" cm="1">
        <f t="array" aca="1" ref="E6" ca="1">_FV(ExpJul[[#This Row],[汇率（特殊-CNY）]],"Price")*ExpJul[[#This Row],[特殊币种]]</f>
        <v>7.1264000000000008E-2</v>
      </c>
      <c r="F6" s="8" t="s">
        <v>43</v>
      </c>
      <c r="G6" s="8"/>
      <c r="H6" s="1" t="s">
        <v>93</v>
      </c>
    </row>
    <row r="7" spans="1:8" ht="30" customHeight="1">
      <c r="A7" s="12"/>
      <c r="B7" s="8"/>
      <c r="C7" s="8">
        <v>7.15</v>
      </c>
      <c r="D7" s="19">
        <v>1273.25</v>
      </c>
      <c r="E7" s="14">
        <f>ExpJul[[#This Row],[特殊币种]]*ExpJul[[#This Row],[汇率（特殊-CNY）]]</f>
        <v>9103.7375000000011</v>
      </c>
      <c r="F7" s="8" t="s">
        <v>41</v>
      </c>
      <c r="G7" s="8"/>
      <c r="H7" s="1" t="s">
        <v>86</v>
      </c>
    </row>
    <row r="8" spans="1:8" ht="30" customHeight="1">
      <c r="A8" s="12"/>
      <c r="B8" s="8"/>
      <c r="C8" s="8"/>
      <c r="D8" s="8"/>
      <c r="E8" s="14">
        <f>8840+5744.32</f>
        <v>14584.32</v>
      </c>
      <c r="F8" s="8" t="s">
        <v>39</v>
      </c>
      <c r="G8" s="8"/>
      <c r="H8" s="1" t="s">
        <v>85</v>
      </c>
    </row>
    <row r="9" spans="1:8" ht="30" customHeight="1">
      <c r="A9" s="12"/>
      <c r="B9" s="8"/>
      <c r="C9" s="8"/>
      <c r="D9" s="8"/>
      <c r="E9" s="14">
        <v>81503.45</v>
      </c>
      <c r="F9" s="8" t="s">
        <v>37</v>
      </c>
      <c r="G9" s="8"/>
      <c r="H9" s="1" t="s">
        <v>89</v>
      </c>
    </row>
    <row r="10" spans="1:8" ht="30" customHeight="1">
      <c r="A10" s="12"/>
      <c r="B10" s="8"/>
      <c r="C10" s="8"/>
      <c r="D10" s="8"/>
      <c r="E10" s="14">
        <f>1.23+1.7</f>
        <v>2.9299999999999997</v>
      </c>
      <c r="F10" s="8" t="s">
        <v>50</v>
      </c>
      <c r="G10" s="8"/>
      <c r="H10" s="1" t="s">
        <v>93</v>
      </c>
    </row>
    <row r="11" spans="1:8" ht="30" customHeight="1">
      <c r="A11" s="12"/>
      <c r="B11" s="8"/>
      <c r="C11" s="8"/>
      <c r="D11" s="8"/>
      <c r="E11" s="14">
        <v>46.54</v>
      </c>
      <c r="F11" s="8" t="s">
        <v>52</v>
      </c>
      <c r="G11" s="8"/>
      <c r="H11" s="1" t="s">
        <v>93</v>
      </c>
    </row>
    <row r="12" spans="1:8" ht="30" customHeight="1">
      <c r="A12" s="9" t="s">
        <v>28</v>
      </c>
      <c r="B12" s="9"/>
      <c r="C12" s="9"/>
      <c r="D12" s="9"/>
      <c r="E12" s="13">
        <f ca="1">SUBTOTAL(109,ExpJul[金额])</f>
        <v>300865.97876399994</v>
      </c>
      <c r="F12" s="9"/>
      <c r="G12" s="9"/>
      <c r="H12" s="9"/>
    </row>
    <row r="14" spans="1:8" ht="30" customHeight="1">
      <c r="A14" s="7" t="s">
        <v>9</v>
      </c>
      <c r="B14" s="7" t="s">
        <v>59</v>
      </c>
      <c r="C14" s="7" t="s">
        <v>47</v>
      </c>
      <c r="D14" s="7" t="s">
        <v>46</v>
      </c>
      <c r="E14" s="7" t="s">
        <v>13</v>
      </c>
      <c r="F14" s="7" t="s">
        <v>15</v>
      </c>
      <c r="G14" s="7" t="s">
        <v>16</v>
      </c>
      <c r="H14" s="1" t="s">
        <v>92</v>
      </c>
    </row>
    <row r="15" spans="1:8" ht="30" customHeight="1">
      <c r="A15" s="12"/>
      <c r="B15" s="8"/>
      <c r="C15" s="8"/>
      <c r="D15" s="8"/>
      <c r="E15" s="17">
        <v>172.98</v>
      </c>
      <c r="F15" s="8" t="s">
        <v>135</v>
      </c>
      <c r="G15" s="8" t="s">
        <v>141</v>
      </c>
      <c r="H15" s="1" t="s">
        <v>135</v>
      </c>
    </row>
    <row r="16" spans="1:8" ht="30" customHeight="1">
      <c r="A16" s="12"/>
      <c r="B16" s="8"/>
      <c r="C16" s="8"/>
      <c r="D16" s="8"/>
      <c r="E16" s="131">
        <v>78.739999999999995</v>
      </c>
      <c r="F16" s="8" t="s">
        <v>137</v>
      </c>
      <c r="G16" s="8"/>
      <c r="H16" s="1" t="s">
        <v>137</v>
      </c>
    </row>
    <row r="17" spans="1:8" ht="30" customHeight="1">
      <c r="A17" s="12"/>
      <c r="B17" s="8"/>
      <c r="C17" s="8" t="e" vm="6">
        <v>#VALUE!</v>
      </c>
      <c r="D17" s="137">
        <v>0.01</v>
      </c>
      <c r="E17" s="131" cm="1">
        <f t="array" aca="1" ref="E17" ca="1">ExpJul投资组合[[#This Row],[特殊币种]]*_FV(ExpJul投资组合[[#This Row],[汇率（特殊-CNY）]],"Price")</f>
        <v>7.1264000000000008E-2</v>
      </c>
      <c r="F17" s="8" t="s">
        <v>86</v>
      </c>
      <c r="G17" s="8"/>
      <c r="H17" s="1" t="s">
        <v>86</v>
      </c>
    </row>
    <row r="18" spans="1:8" ht="30" customHeight="1">
      <c r="A18" s="12"/>
      <c r="B18" s="8"/>
      <c r="C18" s="8"/>
      <c r="D18" s="8"/>
      <c r="E18" s="131">
        <v>511.63</v>
      </c>
      <c r="F18" s="8" t="s">
        <v>139</v>
      </c>
      <c r="G18" s="8"/>
      <c r="H18" s="1" t="s">
        <v>139</v>
      </c>
    </row>
    <row r="19" spans="1:8" ht="30" customHeight="1">
      <c r="A19" s="9" t="s">
        <v>28</v>
      </c>
      <c r="B19" s="9"/>
      <c r="C19" s="9"/>
      <c r="D19" s="9"/>
      <c r="E19" s="18">
        <f ca="1">SUBTOTAL(109,ExpJul投资组合[金额])</f>
        <v>763.42126399999995</v>
      </c>
      <c r="F19" s="9"/>
      <c r="G19" s="9"/>
      <c r="H19" s="9"/>
    </row>
  </sheetData>
  <mergeCells count="1">
    <mergeCell ref="A1:E1"/>
  </mergeCells>
  <phoneticPr fontId="10" type="noConversion"/>
  <dataValidations count="12">
    <dataValidation allowBlank="1" showInputMessage="1" showErrorMessage="1" prompt="此工作表中的表上列出了详细开支的大纲。单元格 D1 和 E1 中分别是“摘要”工作表和“提示”工作表的导航超链接" sqref="A1:E1" xr:uid="{00000000-0002-0000-0800-000001000000}"/>
    <dataValidation allowBlank="1" showInputMessage="1" showErrorMessage="1" prompt="“摘要”工作表的导航超链接" sqref="F1" xr:uid="{00000000-0002-0000-0800-000002000000}"/>
    <dataValidation allowBlank="1" showInputMessage="1" showErrorMessage="1" prompt="“提示”工作表的导航超链接" sqref="G1" xr:uid="{00000000-0002-0000-0800-000003000000}"/>
    <dataValidation allowBlank="1" showInputMessage="1" showErrorMessage="1" prompt="在此列中输入支出日期" sqref="A2 A14:A15" xr:uid="{00000000-0002-0000-0800-000004000000}"/>
    <dataValidation allowBlank="1" showInputMessage="1" showErrorMessage="1" prompt="在此列中输入 PO#" sqref="B2:D2 B14:D15" xr:uid="{00000000-0002-0000-0800-000005000000}"/>
    <dataValidation allowBlank="1" showInputMessage="1" showErrorMessage="1" prompt="在此列中输入支出金额" sqref="E2 E14:E15" xr:uid="{00000000-0002-0000-0800-000006000000}"/>
    <dataValidation allowBlank="1" showInputMessage="1" showErrorMessage="1" prompt="由“摘要”工作表中“支出摘要”表的“支出”列自动填充的支出类别列表。按 Alt+向下键可浏览列表。按 Enter 可选择类别" sqref="F2 F14" xr:uid="{00000000-0002-0000-0800-000007000000}"/>
    <dataValidation allowBlank="1" showInputMessage="1" showErrorMessage="1" prompt="在此列中输入支出描述" sqref="G2 G14:G15" xr:uid="{00000000-0002-0000-0800-000008000000}"/>
    <dataValidation type="custom" errorStyle="warning" allowBlank="1" showInputMessage="1" showErrorMessage="1" errorTitle="金额验证" error="金额应为数字。" sqref="E16:E18 E3:E11" xr:uid="{00000000-0002-0000-0800-000009000000}">
      <formula1>ISNUMBER($E3)</formula1>
    </dataValidation>
    <dataValidation type="custom" errorStyle="warning" allowBlank="1" showInputMessage="1" showErrorMessage="1" error="需输入 8 月的日期，以便将此支出添加到“摘要”表" sqref="A16:A18" xr:uid="{404860DF-8E30-4423-BC56-FE4B4A5B0490}">
      <formula1>MONTH($A16)=8</formula1>
    </dataValidation>
    <dataValidation type="list" errorStyle="warning" allowBlank="1" showInputMessage="1" showErrorMessage="1" error="应从下拉列表中选择开支，以便“摘要”工作表中包含该开支" sqref="F3:F11" xr:uid="{00000000-0002-0000-0800-000000000000}">
      <formula1>ExpenseCategories</formula1>
    </dataValidation>
    <dataValidation type="custom" errorStyle="warning" allowBlank="1" showInputMessage="1" showErrorMessage="1" error="需输入 7 月的日期，以便将此支出添加到“摘要”表" sqref="A3:A11" xr:uid="{00000000-0002-0000-0800-00000A000000}">
      <formula1>MONTH($A3)=7</formula1>
    </dataValidation>
  </dataValidations>
  <hyperlinks>
    <hyperlink ref="F1" location="总资产摘要!A1" tooltip="选择以查看摘要" display="摘要" xr:uid="{00000000-0004-0000-0800-000000000000}"/>
    <hyperlink ref="G1" location="提示!A1" tooltip="选择以导航到“提示”工作表" display="提示" xr:uid="{00000000-0004-0000-0800-000001000000}"/>
  </hyperlink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C6E7ACC-1502-4195-9941-3C865AA07EB1}">
          <x14:formula1>
            <xm:f>投资收益表!$A$5:$A$11</xm:f>
          </x14:formula1>
          <xm:sqref>H15:H18 H3:H11</xm:sqref>
        </x14:dataValidation>
        <x14:dataValidation type="list" allowBlank="1" showInputMessage="1" showErrorMessage="1" xr:uid="{756DC586-ED6F-4876-82BC-5D8B2BB5C751}">
          <x14:formula1>
            <xm:f>投资收益表!$A$5:$A$8</xm:f>
          </x14:formula1>
          <xm:sqref>F15:F18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2060"/>
    <pageSetUpPr autoPageBreaks="0" fitToPage="1"/>
  </sheetPr>
  <dimension ref="A1:H19"/>
  <sheetViews>
    <sheetView showGridLines="0" topLeftCell="A4" zoomScale="85" zoomScaleNormal="85" workbookViewId="0">
      <selection activeCell="A9" sqref="A9:XFD9"/>
    </sheetView>
  </sheetViews>
  <sheetFormatPr defaultColWidth="9.14453125" defaultRowHeight="30" customHeight="1"/>
  <cols>
    <col min="1" max="1" width="19.63671875" style="1" customWidth="1"/>
    <col min="2" max="2" width="15.6015625" style="1" hidden="1" customWidth="1"/>
    <col min="3" max="3" width="23.26953125" style="1" bestFit="1" customWidth="1"/>
    <col min="4" max="4" width="15.6015625" style="1" customWidth="1"/>
    <col min="5" max="5" width="18.29296875" style="1" customWidth="1"/>
    <col min="6" max="6" width="30.53515625" style="1" customWidth="1"/>
    <col min="7" max="7" width="15.19921875" style="1" customWidth="1"/>
    <col min="8" max="16384" width="9.14453125" style="1"/>
  </cols>
  <sheetData>
    <row r="1" spans="1:8" ht="35.1" customHeight="1">
      <c r="A1" s="168" t="s">
        <v>45</v>
      </c>
      <c r="B1" s="168"/>
      <c r="C1" s="168"/>
      <c r="D1" s="168"/>
      <c r="E1" s="169"/>
      <c r="F1" s="33" t="s">
        <v>62</v>
      </c>
      <c r="G1" s="11" t="s">
        <v>6</v>
      </c>
    </row>
    <row r="2" spans="1:8" ht="17.100000000000001" customHeight="1">
      <c r="A2" s="7" t="s">
        <v>9</v>
      </c>
      <c r="B2" s="7" t="s">
        <v>10</v>
      </c>
      <c r="C2" s="7" t="s">
        <v>47</v>
      </c>
      <c r="D2" s="7" t="s">
        <v>46</v>
      </c>
      <c r="E2" s="7" t="s">
        <v>13</v>
      </c>
      <c r="F2" s="7" t="s">
        <v>15</v>
      </c>
      <c r="G2" s="7" t="s">
        <v>16</v>
      </c>
      <c r="H2" s="1" t="s">
        <v>91</v>
      </c>
    </row>
    <row r="3" spans="1:8" ht="30" customHeight="1">
      <c r="A3" s="12"/>
      <c r="B3" s="8" t="s">
        <v>11</v>
      </c>
      <c r="C3" s="8"/>
      <c r="D3" s="8"/>
      <c r="E3" s="17">
        <v>169392.9</v>
      </c>
      <c r="F3" s="8" t="s">
        <v>33</v>
      </c>
      <c r="G3" s="8"/>
      <c r="H3" s="1" t="s">
        <v>88</v>
      </c>
    </row>
    <row r="4" spans="1:8" ht="30" customHeight="1">
      <c r="A4" s="12"/>
      <c r="B4" s="8" t="s">
        <v>12</v>
      </c>
      <c r="C4" s="8"/>
      <c r="D4" s="8"/>
      <c r="E4" s="17">
        <v>10057.35</v>
      </c>
      <c r="F4" s="8" t="s">
        <v>35</v>
      </c>
      <c r="G4" s="8"/>
      <c r="H4" s="1" t="s">
        <v>93</v>
      </c>
    </row>
    <row r="5" spans="1:8" ht="30" customHeight="1">
      <c r="A5" s="12"/>
      <c r="B5" s="8"/>
      <c r="C5" s="8"/>
      <c r="D5" s="8"/>
      <c r="E5" s="17">
        <v>21072.81</v>
      </c>
      <c r="F5" s="8" t="s">
        <v>31</v>
      </c>
      <c r="G5" s="8"/>
      <c r="H5" s="1" t="s">
        <v>85</v>
      </c>
    </row>
    <row r="6" spans="1:8" ht="30" customHeight="1">
      <c r="A6" s="12"/>
      <c r="B6" s="8"/>
      <c r="C6" s="8" t="e" vm="5">
        <v>#VALUE!</v>
      </c>
      <c r="D6" s="21">
        <v>0.01</v>
      </c>
      <c r="E6" s="17" cm="1">
        <f t="array" aca="1" ref="E6" ca="1">ExpAug[[#This Row],[特殊币种]]*_FV(ExpAug[[#This Row],[汇率（特殊-CNY）]],"Price")</f>
        <v>9.1669999999999998E-3</v>
      </c>
      <c r="F6" s="8" t="s">
        <v>43</v>
      </c>
      <c r="G6" s="8"/>
      <c r="H6" s="1" t="s">
        <v>93</v>
      </c>
    </row>
    <row r="7" spans="1:8" ht="30" customHeight="1">
      <c r="A7" s="12"/>
      <c r="B7" s="8"/>
      <c r="C7" s="8">
        <v>7.14</v>
      </c>
      <c r="D7" s="19">
        <v>1278.71</v>
      </c>
      <c r="E7" s="17">
        <f>ExpAug[[#This Row],[特殊币种]]*ExpAug[[#This Row],[汇率（特殊-CNY）]]</f>
        <v>9129.9894000000004</v>
      </c>
      <c r="F7" s="8" t="s">
        <v>41</v>
      </c>
      <c r="G7" s="8"/>
      <c r="H7" s="1" t="s">
        <v>86</v>
      </c>
    </row>
    <row r="8" spans="1:8" ht="30" customHeight="1">
      <c r="A8" s="12"/>
      <c r="B8" s="8"/>
      <c r="C8" s="8"/>
      <c r="D8" s="8"/>
      <c r="E8" s="17">
        <v>14975.57</v>
      </c>
      <c r="F8" s="8" t="s">
        <v>39</v>
      </c>
      <c r="G8" s="8"/>
      <c r="H8" s="1" t="s">
        <v>85</v>
      </c>
    </row>
    <row r="9" spans="1:8" ht="30" customHeight="1">
      <c r="A9" s="12"/>
      <c r="B9" s="8"/>
      <c r="C9" s="8"/>
      <c r="D9" s="8"/>
      <c r="E9" s="17">
        <v>81591.429999999993</v>
      </c>
      <c r="F9" s="8" t="s">
        <v>37</v>
      </c>
      <c r="G9" s="8"/>
      <c r="H9" s="1" t="s">
        <v>89</v>
      </c>
    </row>
    <row r="10" spans="1:8" ht="30" customHeight="1">
      <c r="A10" s="12"/>
      <c r="B10" s="8"/>
      <c r="C10" s="8"/>
      <c r="D10" s="8"/>
      <c r="E10" s="17">
        <f>2.55+3.4</f>
        <v>5.9499999999999993</v>
      </c>
      <c r="F10" s="8" t="s">
        <v>50</v>
      </c>
      <c r="G10" s="8"/>
      <c r="H10" s="1" t="s">
        <v>93</v>
      </c>
    </row>
    <row r="11" spans="1:8" ht="30" customHeight="1">
      <c r="A11" s="12"/>
      <c r="B11" s="8"/>
      <c r="C11" s="8"/>
      <c r="D11" s="8"/>
      <c r="E11" s="17">
        <v>1.96</v>
      </c>
      <c r="F11" s="8" t="s">
        <v>52</v>
      </c>
      <c r="G11" s="8"/>
      <c r="H11" s="1" t="s">
        <v>93</v>
      </c>
    </row>
    <row r="12" spans="1:8" ht="30" customHeight="1">
      <c r="A12" s="9" t="s">
        <v>28</v>
      </c>
      <c r="B12" s="9"/>
      <c r="C12" s="9"/>
      <c r="D12" s="9"/>
      <c r="E12" s="18">
        <f ca="1">SUBTOTAL(109,ExpAug[金额])</f>
        <v>306227.968567</v>
      </c>
      <c r="F12" s="9"/>
      <c r="G12" s="9"/>
      <c r="H12" s="9"/>
    </row>
    <row r="14" spans="1:8" ht="30" customHeight="1">
      <c r="A14" s="7" t="s">
        <v>9</v>
      </c>
      <c r="B14" s="7" t="s">
        <v>59</v>
      </c>
      <c r="C14" s="7" t="s">
        <v>47</v>
      </c>
      <c r="D14" s="7" t="s">
        <v>46</v>
      </c>
      <c r="E14" s="7" t="s">
        <v>13</v>
      </c>
      <c r="F14" s="7" t="s">
        <v>15</v>
      </c>
      <c r="G14" s="7" t="s">
        <v>16</v>
      </c>
      <c r="H14" s="1" t="s">
        <v>92</v>
      </c>
    </row>
    <row r="15" spans="1:8" ht="30" customHeight="1">
      <c r="A15" s="12"/>
      <c r="B15" s="8"/>
      <c r="C15" s="8"/>
      <c r="D15" s="8"/>
      <c r="E15" s="17">
        <v>-59.03</v>
      </c>
      <c r="F15" s="8" t="s">
        <v>135</v>
      </c>
      <c r="G15" s="8" t="s">
        <v>141</v>
      </c>
      <c r="H15" s="1" t="s">
        <v>135</v>
      </c>
    </row>
    <row r="16" spans="1:8" ht="30" customHeight="1">
      <c r="A16" s="12"/>
      <c r="B16" s="8"/>
      <c r="C16" s="8"/>
      <c r="D16" s="8"/>
      <c r="E16" s="131">
        <v>631.32000000000005</v>
      </c>
      <c r="F16" s="8" t="s">
        <v>137</v>
      </c>
      <c r="G16" s="8"/>
      <c r="H16" s="1" t="s">
        <v>137</v>
      </c>
    </row>
    <row r="17" spans="1:8" ht="30" customHeight="1">
      <c r="A17" s="12"/>
      <c r="B17" s="8"/>
      <c r="C17" s="8" t="e" vm="6">
        <v>#VALUE!</v>
      </c>
      <c r="D17" s="137">
        <v>0.01</v>
      </c>
      <c r="E17" s="131" cm="1">
        <f t="array" aca="1" ref="E17" ca="1">ExpAug投资组合[[#This Row],[特殊币种]]*_FV(ExpAug投资组合[[#This Row],[汇率（特殊-CNY）]],"Price")</f>
        <v>7.1264000000000008E-2</v>
      </c>
      <c r="F17" s="8" t="s">
        <v>86</v>
      </c>
      <c r="G17" s="8"/>
      <c r="H17" s="1" t="s">
        <v>86</v>
      </c>
    </row>
    <row r="18" spans="1:8" ht="30" customHeight="1">
      <c r="A18" s="12"/>
      <c r="B18" s="8"/>
      <c r="C18" s="8"/>
      <c r="D18" s="8"/>
      <c r="E18" s="131">
        <v>709.94</v>
      </c>
      <c r="F18" s="8" t="s">
        <v>139</v>
      </c>
      <c r="G18" s="8"/>
      <c r="H18" s="1" t="s">
        <v>139</v>
      </c>
    </row>
    <row r="19" spans="1:8" ht="30" customHeight="1">
      <c r="A19" s="9" t="s">
        <v>28</v>
      </c>
      <c r="B19" s="9"/>
      <c r="C19" s="9"/>
      <c r="D19" s="9"/>
      <c r="E19" s="18">
        <f ca="1">SUBTOTAL(109,ExpAug投资组合[金额])</f>
        <v>1282.3012640000002</v>
      </c>
      <c r="F19" s="9"/>
      <c r="G19" s="9"/>
      <c r="H19" s="9"/>
    </row>
  </sheetData>
  <mergeCells count="1">
    <mergeCell ref="A1:E1"/>
  </mergeCells>
  <phoneticPr fontId="10" type="noConversion"/>
  <dataValidations count="11">
    <dataValidation allowBlank="1" showInputMessage="1" showErrorMessage="1" prompt="此工作表中的表上列出了详细开支的大纲。单元格 D1 和 E1 中分别是“摘要”工作表和“提示”工作表的导航超链接" sqref="A1:E1" xr:uid="{00000000-0002-0000-0900-000001000000}"/>
    <dataValidation allowBlank="1" showInputMessage="1" showErrorMessage="1" prompt="“摘要”工作表的导航超链接" sqref="F1" xr:uid="{00000000-0002-0000-0900-000002000000}"/>
    <dataValidation allowBlank="1" showInputMessage="1" showErrorMessage="1" prompt="“提示”工作表的导航超链接" sqref="G1" xr:uid="{00000000-0002-0000-0900-000003000000}"/>
    <dataValidation allowBlank="1" showInputMessage="1" showErrorMessage="1" prompt="在此列中输入支出日期" sqref="A2 A14:A15" xr:uid="{00000000-0002-0000-0900-000004000000}"/>
    <dataValidation allowBlank="1" showInputMessage="1" showErrorMessage="1" prompt="在此列中输入 PO#" sqref="B2:D2 B14:D15" xr:uid="{00000000-0002-0000-0900-000005000000}"/>
    <dataValidation allowBlank="1" showInputMessage="1" showErrorMessage="1" prompt="在此列中输入支出金额" sqref="E2 E14:E15" xr:uid="{00000000-0002-0000-0900-000006000000}"/>
    <dataValidation allowBlank="1" showInputMessage="1" showErrorMessage="1" prompt="由“摘要”工作表中“支出摘要”表的“支出”列自动填充的支出类别列表。按 Alt+向下键可浏览列表。按 Enter 可选择类别" sqref="F2 F14" xr:uid="{00000000-0002-0000-0900-000007000000}"/>
    <dataValidation allowBlank="1" showInputMessage="1" showErrorMessage="1" prompt="在此列中输入支出描述" sqref="G2 G14:G15" xr:uid="{00000000-0002-0000-0900-000008000000}"/>
    <dataValidation type="custom" errorStyle="warning" allowBlank="1" showInputMessage="1" showErrorMessage="1" errorTitle="金额验证" error="金额应为数字。" sqref="E16:E18 E3:E11" xr:uid="{00000000-0002-0000-0900-000009000000}">
      <formula1>ISNUMBER($E3)</formula1>
    </dataValidation>
    <dataValidation type="custom" errorStyle="warning" allowBlank="1" showInputMessage="1" showErrorMessage="1" error="需输入 8 月的日期，以便将此支出添加到“摘要”表" sqref="A16:A18 A3:A11" xr:uid="{00000000-0002-0000-0900-00000A000000}">
      <formula1>MONTH($A3)=8</formula1>
    </dataValidation>
    <dataValidation type="list" errorStyle="warning" allowBlank="1" showInputMessage="1" showErrorMessage="1" error="应从下拉列表中选择开支，以便“摘要”工作表中包含该开支" sqref="F3:F11" xr:uid="{00000000-0002-0000-0900-000000000000}">
      <formula1>ExpenseCategories</formula1>
    </dataValidation>
  </dataValidations>
  <hyperlinks>
    <hyperlink ref="F1" location="总资产摘要!A1" tooltip="选择以查看摘要" display="摘要" xr:uid="{00000000-0004-0000-0900-000000000000}"/>
    <hyperlink ref="G1" location="提示!A1" tooltip="选择以导航到“提示”工作表" display="提示" xr:uid="{00000000-0004-0000-0900-000001000000}"/>
  </hyperlink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9" r:id="rId4" name=" 7">
              <controlPr defaultSize="0" print="0" uiObject="1" autoLine="0" autoPict="0">
                <anchor moveWithCells="1" sizeWithCells="1">
                  <from>
                    <xdr:col>6</xdr:col>
                    <xdr:colOff>0</xdr:colOff>
                    <xdr:row>11</xdr:row>
                    <xdr:rowOff>0</xdr:rowOff>
                  </from>
                  <to>
                    <xdr:col>7</xdr:col>
                    <xdr:colOff>198120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1DEB034-E917-4D44-B740-004E9D495521}">
          <x14:formula1>
            <xm:f>投资收益表!$A$5:$A$11</xm:f>
          </x14:formula1>
          <xm:sqref>H15:H18 H3:H11</xm:sqref>
        </x14:dataValidation>
        <x14:dataValidation type="list" allowBlank="1" showInputMessage="1" showErrorMessage="1" xr:uid="{9A12284C-ED94-4B75-B00A-F7887F5A7708}">
          <x14:formula1>
            <xm:f>投资收益表!$A$5:$A$8</xm:f>
          </x14:formula1>
          <xm:sqref>F15:F18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DD97-CA3A-431A-82EE-0ED8A83F1C05}">
  <sheetPr>
    <tabColor rgb="FF7030A0"/>
    <pageSetUpPr autoPageBreaks="0" fitToPage="1"/>
  </sheetPr>
  <dimension ref="A1:H23"/>
  <sheetViews>
    <sheetView showGridLines="0" topLeftCell="A7" zoomScaleNormal="100" workbookViewId="0">
      <selection activeCell="A13" sqref="A13:XFD13"/>
    </sheetView>
  </sheetViews>
  <sheetFormatPr defaultColWidth="9.14453125" defaultRowHeight="30" customHeight="1"/>
  <cols>
    <col min="1" max="1" width="19.63671875" style="1" customWidth="1"/>
    <col min="2" max="2" width="15.6015625" style="1" hidden="1" customWidth="1"/>
    <col min="3" max="3" width="23.26953125" style="1" bestFit="1" customWidth="1"/>
    <col min="4" max="4" width="17.75390625" style="1" bestFit="1" customWidth="1"/>
    <col min="5" max="5" width="17.484375" style="1" customWidth="1"/>
    <col min="6" max="7" width="30.53515625" style="1" customWidth="1"/>
    <col min="8" max="16384" width="9.14453125" style="1"/>
  </cols>
  <sheetData>
    <row r="1" spans="1:8" ht="35.1" customHeight="1">
      <c r="A1" s="168" t="s">
        <v>48</v>
      </c>
      <c r="B1" s="168"/>
      <c r="C1" s="168"/>
      <c r="D1" s="168"/>
      <c r="E1" s="169"/>
      <c r="F1" s="33" t="s">
        <v>62</v>
      </c>
      <c r="G1" s="11" t="s">
        <v>6</v>
      </c>
    </row>
    <row r="2" spans="1:8" ht="17.100000000000001" customHeight="1">
      <c r="A2" s="7" t="s">
        <v>9</v>
      </c>
      <c r="B2" s="7" t="s">
        <v>10</v>
      </c>
      <c r="C2" s="7" t="s">
        <v>47</v>
      </c>
      <c r="D2" s="7" t="s">
        <v>46</v>
      </c>
      <c r="E2" s="7" t="s">
        <v>13</v>
      </c>
      <c r="F2" s="7" t="s">
        <v>15</v>
      </c>
      <c r="G2" s="7" t="s">
        <v>16</v>
      </c>
      <c r="H2" s="1" t="s">
        <v>92</v>
      </c>
    </row>
    <row r="3" spans="1:8" ht="30" customHeight="1">
      <c r="A3" s="12"/>
      <c r="B3" s="8" t="s">
        <v>11</v>
      </c>
      <c r="C3" s="8"/>
      <c r="D3" s="8"/>
      <c r="E3" s="17">
        <f>21348.29</f>
        <v>21348.29</v>
      </c>
      <c r="F3" s="8" t="s">
        <v>33</v>
      </c>
      <c r="G3" s="8"/>
    </row>
    <row r="4" spans="1:8" ht="30" customHeight="1">
      <c r="A4" s="12"/>
      <c r="B4" s="8"/>
      <c r="C4" s="8"/>
      <c r="D4" s="8"/>
      <c r="E4" s="17">
        <v>14351.12</v>
      </c>
      <c r="F4" s="8" t="s">
        <v>33</v>
      </c>
      <c r="G4" s="8"/>
    </row>
    <row r="5" spans="1:8" ht="30" customHeight="1">
      <c r="A5" s="12"/>
      <c r="B5" s="8"/>
      <c r="C5" s="8"/>
      <c r="D5" s="8"/>
      <c r="E5" s="17">
        <v>104792.71</v>
      </c>
      <c r="F5" s="8" t="s">
        <v>33</v>
      </c>
      <c r="G5" s="8"/>
    </row>
    <row r="6" spans="1:8" ht="30" customHeight="1">
      <c r="A6" s="12"/>
      <c r="B6" s="8"/>
      <c r="C6" s="8"/>
      <c r="D6" s="8"/>
      <c r="E6" s="17">
        <v>17668.310000000001</v>
      </c>
      <c r="F6" s="8" t="s">
        <v>33</v>
      </c>
      <c r="G6" s="8"/>
    </row>
    <row r="7" spans="1:8" ht="30" customHeight="1">
      <c r="A7" s="12"/>
      <c r="B7" s="8"/>
      <c r="C7" s="8"/>
      <c r="D7" s="8"/>
      <c r="E7" s="17">
        <v>14297.97</v>
      </c>
      <c r="F7" s="8" t="s">
        <v>33</v>
      </c>
      <c r="G7" s="8"/>
    </row>
    <row r="8" spans="1:8" ht="30" customHeight="1">
      <c r="A8" s="12"/>
      <c r="B8" s="8" t="s">
        <v>12</v>
      </c>
      <c r="C8" s="8"/>
      <c r="D8" s="8"/>
      <c r="E8" s="17">
        <v>294.56</v>
      </c>
      <c r="F8" s="8" t="s">
        <v>35</v>
      </c>
      <c r="G8" s="8"/>
    </row>
    <row r="9" spans="1:8" ht="30" customHeight="1">
      <c r="A9" s="12"/>
      <c r="B9" s="8"/>
      <c r="C9" s="8"/>
      <c r="D9" s="8"/>
      <c r="E9" s="17">
        <v>20901.54</v>
      </c>
      <c r="F9" s="8" t="s">
        <v>31</v>
      </c>
      <c r="G9" s="8"/>
    </row>
    <row r="10" spans="1:8" ht="30" customHeight="1">
      <c r="A10" s="12"/>
      <c r="B10" s="8"/>
      <c r="C10" s="8" t="e" vm="5">
        <v>#VALUE!</v>
      </c>
      <c r="D10" s="21">
        <v>0.1</v>
      </c>
      <c r="E10" s="17" cm="1">
        <f t="array" aca="1" ref="E10" ca="1">ExpSep[[#This Row],[特殊币种]]*_FV(ExpSep[[#This Row],[汇率（特殊-CNY）]],"Price")</f>
        <v>9.1670000000000001E-2</v>
      </c>
      <c r="F10" s="8" t="s">
        <v>43</v>
      </c>
      <c r="G10" s="8"/>
    </row>
    <row r="11" spans="1:8" ht="30" customHeight="1">
      <c r="A11" s="12"/>
      <c r="B11" s="8"/>
      <c r="C11" s="8">
        <v>6.97</v>
      </c>
      <c r="D11" s="19">
        <v>1285.92</v>
      </c>
      <c r="E11" s="17">
        <f>ExpSep[[#This Row],[特殊币种]]*ExpSep[[#This Row],[汇率（特殊-CNY）]]</f>
        <v>8962.8624</v>
      </c>
      <c r="F11" s="8" t="s">
        <v>41</v>
      </c>
      <c r="G11" s="8"/>
    </row>
    <row r="12" spans="1:8" ht="30" customHeight="1">
      <c r="A12" s="12"/>
      <c r="B12" s="8"/>
      <c r="C12" s="8"/>
      <c r="D12" s="8"/>
      <c r="E12" s="17">
        <v>22866.26</v>
      </c>
      <c r="F12" s="8" t="s">
        <v>39</v>
      </c>
      <c r="G12" s="8"/>
    </row>
    <row r="13" spans="1:8" ht="30" customHeight="1">
      <c r="A13" s="12"/>
      <c r="B13" s="8"/>
      <c r="C13" s="8"/>
      <c r="D13" s="8"/>
      <c r="E13" s="17">
        <v>77615.66</v>
      </c>
      <c r="F13" s="8" t="s">
        <v>37</v>
      </c>
      <c r="G13" s="8"/>
    </row>
    <row r="14" spans="1:8" ht="30" customHeight="1">
      <c r="A14" s="12"/>
      <c r="B14" s="8"/>
      <c r="C14" s="8"/>
      <c r="D14" s="8"/>
      <c r="E14" s="17">
        <f>0.19+1.81</f>
        <v>2</v>
      </c>
      <c r="F14" s="8" t="s">
        <v>50</v>
      </c>
      <c r="G14" s="8"/>
    </row>
    <row r="15" spans="1:8" ht="30" customHeight="1">
      <c r="A15" s="12"/>
      <c r="B15" s="8"/>
      <c r="C15" s="8"/>
      <c r="D15" s="8"/>
      <c r="E15" s="17">
        <v>0.96</v>
      </c>
      <c r="F15" s="8" t="s">
        <v>52</v>
      </c>
      <c r="G15" s="8"/>
    </row>
    <row r="16" spans="1:8" ht="30" customHeight="1">
      <c r="A16" s="9" t="s">
        <v>28</v>
      </c>
      <c r="B16" s="9"/>
      <c r="C16" s="9"/>
      <c r="D16" s="9"/>
      <c r="E16" s="18">
        <f ca="1">SUBTOTAL(109,ExpSep[金额])</f>
        <v>303102.33407000004</v>
      </c>
      <c r="F16" s="9"/>
      <c r="G16" s="9"/>
      <c r="H16" s="9"/>
    </row>
    <row r="18" spans="1:8" ht="30" customHeight="1">
      <c r="A18" s="7" t="s">
        <v>9</v>
      </c>
      <c r="B18" s="7" t="s">
        <v>59</v>
      </c>
      <c r="C18" s="7" t="s">
        <v>47</v>
      </c>
      <c r="D18" s="7" t="s">
        <v>46</v>
      </c>
      <c r="E18" s="7" t="s">
        <v>13</v>
      </c>
      <c r="F18" s="7" t="s">
        <v>15</v>
      </c>
      <c r="G18" s="7" t="s">
        <v>16</v>
      </c>
      <c r="H18" s="1" t="s">
        <v>92</v>
      </c>
    </row>
    <row r="19" spans="1:8" ht="30" customHeight="1">
      <c r="A19" s="12"/>
      <c r="B19" s="8"/>
      <c r="C19" s="8"/>
      <c r="D19" s="8"/>
      <c r="E19" s="17">
        <v>-167.04</v>
      </c>
      <c r="F19" s="8" t="s">
        <v>135</v>
      </c>
      <c r="G19" s="8" t="s">
        <v>141</v>
      </c>
      <c r="H19" s="1" t="s">
        <v>135</v>
      </c>
    </row>
    <row r="20" spans="1:8" ht="30" customHeight="1">
      <c r="A20" s="12"/>
      <c r="B20" s="8"/>
      <c r="C20" s="8"/>
      <c r="D20" s="8"/>
      <c r="E20" s="131">
        <v>393.22</v>
      </c>
      <c r="F20" s="8" t="s">
        <v>137</v>
      </c>
      <c r="G20" s="8"/>
      <c r="H20" s="1" t="s">
        <v>137</v>
      </c>
    </row>
    <row r="21" spans="1:8" ht="30" customHeight="1">
      <c r="A21" s="12"/>
      <c r="B21" s="8"/>
      <c r="C21" s="8" t="e" vm="6">
        <v>#VALUE!</v>
      </c>
      <c r="D21" s="137">
        <v>0.01</v>
      </c>
      <c r="E21" s="131" cm="1">
        <f t="array" aca="1" ref="E21" ca="1">ExpSep投资组合[[#This Row],[特殊币种]]*_FV(ExpSep投资组合[[#This Row],[汇率（特殊-CNY）]],"Price")</f>
        <v>7.1264000000000008E-2</v>
      </c>
      <c r="F21" s="8" t="s">
        <v>86</v>
      </c>
      <c r="G21" s="8"/>
      <c r="H21" s="1" t="s">
        <v>86</v>
      </c>
    </row>
    <row r="22" spans="1:8" ht="30" customHeight="1">
      <c r="A22" s="12"/>
      <c r="B22" s="8"/>
      <c r="C22" s="8"/>
      <c r="D22" s="8"/>
      <c r="E22" s="131">
        <v>290.64</v>
      </c>
      <c r="F22" s="8" t="s">
        <v>139</v>
      </c>
      <c r="G22" s="8"/>
      <c r="H22" s="1" t="s">
        <v>139</v>
      </c>
    </row>
    <row r="23" spans="1:8" ht="30" customHeight="1">
      <c r="A23" s="9" t="s">
        <v>28</v>
      </c>
      <c r="B23" s="9"/>
      <c r="C23" s="9"/>
      <c r="D23" s="9"/>
      <c r="E23" s="18">
        <f ca="1">SUBTOTAL(109,ExpSep投资组合[金额])</f>
        <v>516.89126400000009</v>
      </c>
      <c r="F23" s="9"/>
      <c r="G23" s="9"/>
      <c r="H23" s="9"/>
    </row>
  </sheetData>
  <mergeCells count="1">
    <mergeCell ref="A1:E1"/>
  </mergeCells>
  <phoneticPr fontId="18" type="noConversion"/>
  <dataValidations count="11">
    <dataValidation type="custom" errorStyle="warning" allowBlank="1" showInputMessage="1" showErrorMessage="1" errorTitle="金额验证" error="金额应为数字。" sqref="E20:E22 E3:E15" xr:uid="{234FAD8A-3F2D-42AE-B49F-6B267FB8CE0D}">
      <formula1>ISNUMBER($E3)</formula1>
    </dataValidation>
    <dataValidation type="custom" errorStyle="warning" allowBlank="1" showInputMessage="1" showErrorMessage="1" error="需输入 8 月的日期，以便将此支出添加到“摘要”表" sqref="A20:A22 A3:A15" xr:uid="{62EB5AE0-06C2-49F5-8DAF-860BD66FA9FE}">
      <formula1>MONTH($A3)=8</formula1>
    </dataValidation>
    <dataValidation allowBlank="1" showInputMessage="1" showErrorMessage="1" prompt="在此列中输入支出描述" sqref="G2 G18:G19" xr:uid="{93626409-926A-4844-BA2C-21F731A71D47}"/>
    <dataValidation allowBlank="1" showInputMessage="1" showErrorMessage="1" prompt="由“摘要”工作表中“支出摘要”表的“支出”列自动填充的支出类别列表。按 Alt+向下键可浏览列表。按 Enter 可选择类别" sqref="F2 F18" xr:uid="{2C6D24F3-39E4-4E43-86A4-0E493CC86087}"/>
    <dataValidation allowBlank="1" showInputMessage="1" showErrorMessage="1" prompt="在此列中输入支出金额" sqref="E2 E18:E19" xr:uid="{8A2C2A82-D4CB-4658-9035-4FB115E1565B}"/>
    <dataValidation allowBlank="1" showInputMessage="1" showErrorMessage="1" prompt="在此列中输入 PO#" sqref="B2:D2 B18:D19" xr:uid="{DA344711-D6DD-4908-B48F-32AA8C83D39C}"/>
    <dataValidation allowBlank="1" showInputMessage="1" showErrorMessage="1" prompt="在此列中输入支出日期" sqref="A2 A18:A19" xr:uid="{52ED3EF5-F162-4FEA-A742-443C570970AC}"/>
    <dataValidation allowBlank="1" showInputMessage="1" showErrorMessage="1" prompt="“提示”工作表的导航超链接" sqref="G1" xr:uid="{BADD64C8-CC46-4A78-9761-E165509E0DC9}"/>
    <dataValidation allowBlank="1" showInputMessage="1" showErrorMessage="1" prompt="“摘要”工作表的导航超链接" sqref="F1" xr:uid="{46833F52-6B3D-42E1-8606-FAE172C51AD4}"/>
    <dataValidation allowBlank="1" showInputMessage="1" showErrorMessage="1" prompt="此工作表中的表上列出了详细开支的大纲。单元格 D1 和 E1 中分别是“摘要”工作表和“提示”工作表的导航超链接" sqref="A1:E1" xr:uid="{E6C10532-667C-49BE-B788-3DF8D91FA479}"/>
    <dataValidation type="list" errorStyle="warning" allowBlank="1" showInputMessage="1" showErrorMessage="1" error="应从下拉列表中选择开支，以便“摘要”工作表中包含该开支" sqref="F3:F15" xr:uid="{2CC12BFD-0FE1-46DD-BC8E-F816DD5544A8}">
      <formula1>ExpenseCategories</formula1>
    </dataValidation>
  </dataValidations>
  <hyperlinks>
    <hyperlink ref="F1" location="总资产摘要!R1C1" tooltip="选择以查看摘要" display="摘要" xr:uid="{A6102866-60B4-4BAD-9BCC-672DF657374B}"/>
    <hyperlink ref="G1" location="提示!A1" tooltip="选择以导航到“提示”工作表" display="提示" xr:uid="{2309FDD3-1D73-4439-AEA7-6C8D366ABAA0}"/>
  </hyperlink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62" r:id="rId4" name=" 14">
              <controlPr defaultSize="0" print="0" uiObject="1" autoLine="0" autoPict="0">
                <anchor moveWithCells="1" sizeWithCells="1">
                  <from>
                    <xdr:col>4</xdr:col>
                    <xdr:colOff>0</xdr:colOff>
                    <xdr:row>15</xdr:row>
                    <xdr:rowOff>0</xdr:rowOff>
                  </from>
                  <to>
                    <xdr:col>5</xdr:col>
                    <xdr:colOff>198120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A6DB92-CD5E-4D61-94C0-174FF9077EF9}">
          <x14:formula1>
            <xm:f>投资收益表!$A$5:$A$11</xm:f>
          </x14:formula1>
          <xm:sqref>H19:H22 H3:H15</xm:sqref>
        </x14:dataValidation>
        <x14:dataValidation type="list" allowBlank="1" showInputMessage="1" showErrorMessage="1" xr:uid="{6760569D-58B3-4B1B-8CC0-891556BC0E8F}">
          <x14:formula1>
            <xm:f>投资收益表!$A$5:$A$8</xm:f>
          </x14:formula1>
          <xm:sqref>F19:F22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5C1E-5372-4BFE-87A2-D05EE2401999}">
  <sheetPr>
    <tabColor rgb="FFC00000"/>
    <pageSetUpPr autoPageBreaks="0" fitToPage="1"/>
  </sheetPr>
  <dimension ref="A1:H19"/>
  <sheetViews>
    <sheetView showGridLines="0" topLeftCell="A6" zoomScaleNormal="100" workbookViewId="0">
      <selection activeCell="F16" sqref="F16"/>
    </sheetView>
  </sheetViews>
  <sheetFormatPr defaultColWidth="9.14453125" defaultRowHeight="30" customHeight="1"/>
  <cols>
    <col min="1" max="1" width="19.63671875" style="1" customWidth="1"/>
    <col min="2" max="2" width="15.6015625" style="1" hidden="1" customWidth="1"/>
    <col min="3" max="3" width="23.26953125" style="1" bestFit="1" customWidth="1"/>
    <col min="4" max="4" width="17.75390625" style="1" bestFit="1" customWidth="1"/>
    <col min="5" max="5" width="15.6015625" style="1" customWidth="1"/>
    <col min="6" max="7" width="30.53515625" style="1" customWidth="1"/>
    <col min="8" max="16384" width="9.14453125" style="1"/>
  </cols>
  <sheetData>
    <row r="1" spans="1:8" ht="35.1" customHeight="1">
      <c r="A1" s="168" t="s">
        <v>58</v>
      </c>
      <c r="B1" s="168"/>
      <c r="C1" s="168"/>
      <c r="D1" s="168"/>
      <c r="E1" s="169"/>
      <c r="F1" s="11" t="s">
        <v>14</v>
      </c>
      <c r="G1" s="11" t="s">
        <v>6</v>
      </c>
    </row>
    <row r="2" spans="1:8" ht="17.100000000000001" customHeight="1">
      <c r="A2" s="7" t="s">
        <v>9</v>
      </c>
      <c r="B2" s="7" t="s">
        <v>59</v>
      </c>
      <c r="C2" s="7" t="s">
        <v>47</v>
      </c>
      <c r="D2" s="7" t="s">
        <v>46</v>
      </c>
      <c r="E2" s="7" t="s">
        <v>13</v>
      </c>
      <c r="F2" s="7" t="s">
        <v>15</v>
      </c>
      <c r="G2" s="7" t="s">
        <v>16</v>
      </c>
      <c r="H2" s="1" t="s">
        <v>92</v>
      </c>
    </row>
    <row r="3" spans="1:8" ht="30" customHeight="1">
      <c r="A3" s="12"/>
      <c r="B3" s="8" t="s">
        <v>11</v>
      </c>
      <c r="C3" s="8"/>
      <c r="D3" s="8"/>
      <c r="E3" s="17">
        <v>168232.73</v>
      </c>
      <c r="F3" s="8" t="s">
        <v>33</v>
      </c>
      <c r="G3" s="8"/>
    </row>
    <row r="4" spans="1:8" ht="30" customHeight="1">
      <c r="A4" s="12"/>
      <c r="B4" s="8" t="s">
        <v>12</v>
      </c>
      <c r="C4" s="8"/>
      <c r="D4" s="8"/>
      <c r="E4" s="17">
        <v>6.86</v>
      </c>
      <c r="F4" s="8" t="s">
        <v>35</v>
      </c>
      <c r="G4" s="8"/>
    </row>
    <row r="5" spans="1:8" ht="30" customHeight="1">
      <c r="A5" s="12"/>
      <c r="B5" s="8"/>
      <c r="C5" s="8"/>
      <c r="D5" s="8"/>
      <c r="E5" s="17">
        <v>21785.1</v>
      </c>
      <c r="F5" s="8" t="s">
        <v>31</v>
      </c>
      <c r="G5" s="8"/>
    </row>
    <row r="6" spans="1:8" ht="30" customHeight="1">
      <c r="A6" s="12"/>
      <c r="B6" s="8"/>
      <c r="C6" s="8" t="e" vm="5">
        <v>#VALUE!</v>
      </c>
      <c r="D6" s="21">
        <v>0</v>
      </c>
      <c r="E6" s="17" cm="1">
        <f t="array" aca="1" ref="E6" ca="1">ExpOct[[#This Row],[特殊币种]]*_FV(ExpOct[[#This Row],[汇率（特殊-CNY）]],"Price")</f>
        <v>0</v>
      </c>
      <c r="F6" s="8" t="s">
        <v>43</v>
      </c>
      <c r="G6" s="8"/>
    </row>
    <row r="7" spans="1:8" ht="30" customHeight="1">
      <c r="A7" s="12"/>
      <c r="B7" s="8"/>
      <c r="C7" s="8">
        <v>6.77</v>
      </c>
      <c r="D7" s="19">
        <v>1298.54</v>
      </c>
      <c r="E7" s="17">
        <f>ExpOct[[#This Row],[特殊币种]]*ExpOct[[#This Row],[汇率（特殊-CNY）]]</f>
        <v>8791.1157999999996</v>
      </c>
      <c r="F7" s="8" t="s">
        <v>41</v>
      </c>
      <c r="G7" s="8"/>
    </row>
    <row r="8" spans="1:8" ht="30" customHeight="1">
      <c r="A8" s="12"/>
      <c r="B8" s="8"/>
      <c r="C8" s="8"/>
      <c r="D8" s="8"/>
      <c r="E8" s="17">
        <v>43401.35</v>
      </c>
      <c r="F8" s="8" t="s">
        <v>39</v>
      </c>
      <c r="G8" s="8"/>
    </row>
    <row r="9" spans="1:8" ht="30" customHeight="1">
      <c r="A9" s="12"/>
      <c r="B9" s="8"/>
      <c r="C9" s="8"/>
      <c r="D9" s="8"/>
      <c r="E9" s="17">
        <v>73876.460000000006</v>
      </c>
      <c r="F9" s="8" t="s">
        <v>37</v>
      </c>
      <c r="G9" s="8" t="s">
        <v>100</v>
      </c>
    </row>
    <row r="10" spans="1:8" ht="30" customHeight="1">
      <c r="A10" s="12"/>
      <c r="B10" s="8"/>
      <c r="C10" s="8"/>
      <c r="D10" s="8"/>
      <c r="E10" s="17">
        <f>6.29+154.64</f>
        <v>160.92999999999998</v>
      </c>
      <c r="F10" s="8" t="s">
        <v>50</v>
      </c>
      <c r="G10" s="8"/>
    </row>
    <row r="11" spans="1:8" ht="30" customHeight="1">
      <c r="A11" s="12"/>
      <c r="B11" s="8"/>
      <c r="C11" s="8"/>
      <c r="D11" s="8"/>
      <c r="E11" s="17">
        <v>1.1499999999999999</v>
      </c>
      <c r="F11" s="8" t="s">
        <v>52</v>
      </c>
      <c r="G11" s="8"/>
    </row>
    <row r="12" spans="1:8" ht="30" customHeight="1">
      <c r="A12" s="9" t="s">
        <v>28</v>
      </c>
      <c r="B12" s="9"/>
      <c r="C12" s="9"/>
      <c r="D12" s="9"/>
      <c r="E12" s="18">
        <f ca="1">SUBTOTAL(109,ExpOct[金额])</f>
        <v>316255.69580000004</v>
      </c>
      <c r="F12" s="9"/>
      <c r="G12" s="9"/>
      <c r="H12" s="9"/>
    </row>
    <row r="14" spans="1:8" ht="30" customHeight="1">
      <c r="A14" s="7" t="s">
        <v>9</v>
      </c>
      <c r="B14" s="7" t="s">
        <v>59</v>
      </c>
      <c r="C14" s="7" t="s">
        <v>47</v>
      </c>
      <c r="D14" s="7" t="s">
        <v>46</v>
      </c>
      <c r="E14" s="7" t="s">
        <v>13</v>
      </c>
      <c r="F14" s="7" t="s">
        <v>15</v>
      </c>
      <c r="G14" s="7" t="s">
        <v>16</v>
      </c>
      <c r="H14" s="1" t="s">
        <v>92</v>
      </c>
    </row>
    <row r="15" spans="1:8" ht="30" customHeight="1">
      <c r="A15" s="12"/>
      <c r="B15" s="8"/>
      <c r="C15" s="8"/>
      <c r="D15" s="8"/>
      <c r="E15" s="17">
        <v>1083.94</v>
      </c>
      <c r="F15" s="8" t="s">
        <v>135</v>
      </c>
      <c r="G15" s="8" t="s">
        <v>141</v>
      </c>
      <c r="H15" s="1" t="s">
        <v>135</v>
      </c>
    </row>
    <row r="16" spans="1:8" ht="30" customHeight="1">
      <c r="A16" s="12"/>
      <c r="B16" s="8"/>
      <c r="C16" s="8"/>
      <c r="D16" s="8"/>
      <c r="E16" s="131">
        <v>1154.26</v>
      </c>
      <c r="F16" s="8" t="s">
        <v>137</v>
      </c>
      <c r="G16" s="8"/>
      <c r="H16" s="1" t="s">
        <v>137</v>
      </c>
    </row>
    <row r="17" spans="1:8" ht="30" customHeight="1">
      <c r="A17" s="12"/>
      <c r="B17" s="8"/>
      <c r="C17" s="8" t="e" vm="6">
        <v>#VALUE!</v>
      </c>
      <c r="D17" s="137">
        <v>0.01</v>
      </c>
      <c r="E17" s="138" cm="1">
        <f t="array" aca="1" ref="E17" ca="1">ExpOct投资组合[[#This Row],[特殊币种]]*_FV(ExpOct投资组合[[#This Row],[汇率（特殊-CNY）]],"Price")</f>
        <v>7.1264000000000008E-2</v>
      </c>
      <c r="F17" s="8" t="s">
        <v>86</v>
      </c>
      <c r="G17" s="8"/>
      <c r="H17" s="1" t="s">
        <v>86</v>
      </c>
    </row>
    <row r="18" spans="1:8" ht="30" customHeight="1">
      <c r="A18" s="12"/>
      <c r="B18" s="8"/>
      <c r="C18" s="8"/>
      <c r="D18" s="8"/>
      <c r="E18" s="131">
        <v>603.16999999999996</v>
      </c>
      <c r="F18" s="8" t="s">
        <v>139</v>
      </c>
      <c r="G18" s="8"/>
      <c r="H18" s="1" t="s">
        <v>139</v>
      </c>
    </row>
    <row r="19" spans="1:8" ht="30" customHeight="1">
      <c r="A19" s="9" t="s">
        <v>28</v>
      </c>
      <c r="B19" s="9"/>
      <c r="C19" s="9"/>
      <c r="D19" s="9"/>
      <c r="E19" s="18">
        <f ca="1">SUBTOTAL(109,ExpOct投资组合[金额])</f>
        <v>2841.441264</v>
      </c>
      <c r="F19" s="9"/>
      <c r="G19" s="9"/>
      <c r="H19" s="9"/>
    </row>
  </sheetData>
  <mergeCells count="1">
    <mergeCell ref="A1:E1"/>
  </mergeCells>
  <phoneticPr fontId="18" type="noConversion"/>
  <dataValidations count="11">
    <dataValidation type="custom" errorStyle="warning" allowBlank="1" showInputMessage="1" showErrorMessage="1" errorTitle="金额验证" error="金额应为数字。" sqref="E16:E18 E3:E11" xr:uid="{004F61A4-D3C1-45DF-A43C-0E7E6DAF5CDD}">
      <formula1>ISNUMBER($E3)</formula1>
    </dataValidation>
    <dataValidation allowBlank="1" showInputMessage="1" showErrorMessage="1" prompt="此工作表中的表上列出了详细开支的大纲。单元格 D1 和 E1 中分别是“摘要”工作表和“提示”工作表的导航超链接" sqref="A1:E1" xr:uid="{E507FE2C-23D8-4226-8A1C-F1BB4F53C1DB}"/>
    <dataValidation allowBlank="1" showInputMessage="1" showErrorMessage="1" prompt="“摘要”工作表的导航超链接" sqref="F1" xr:uid="{4368CBB9-FB8D-42B6-B3E3-FF06A041DDF2}"/>
    <dataValidation allowBlank="1" showInputMessage="1" showErrorMessage="1" prompt="“提示”工作表的导航超链接" sqref="G1" xr:uid="{990AAF31-8BC0-454F-8D1D-DDDE429CCDFE}"/>
    <dataValidation allowBlank="1" showInputMessage="1" showErrorMessage="1" prompt="在此列中输入支出日期" sqref="A2 A14:A15" xr:uid="{D169D789-9423-4117-B2BD-889EBC1797BF}"/>
    <dataValidation allowBlank="1" showInputMessage="1" showErrorMessage="1" prompt="在此列中输入 PO#" sqref="B2:D2 B14:D15" xr:uid="{79376796-1BD5-4EF6-B19F-73F326ECDDAB}"/>
    <dataValidation allowBlank="1" showInputMessage="1" showErrorMessage="1" prompt="在此列中输入支出金额" sqref="E2 E14:E15" xr:uid="{A8F7A220-09A3-4992-B212-280F953C4FF5}"/>
    <dataValidation allowBlank="1" showInputMessage="1" showErrorMessage="1" prompt="由“摘要”工作表中“支出摘要”表的“支出”列自动填充的支出类别列表。按 Alt+向下键可浏览列表。按 Enter 可选择类别" sqref="F2 F14" xr:uid="{A94D45F6-ADF3-4C47-A6CC-EAC998379A54}"/>
    <dataValidation allowBlank="1" showInputMessage="1" showErrorMessage="1" prompt="在此列中输入支出描述" sqref="G2 G14:G15" xr:uid="{E59157D1-66E6-4A30-9ACA-A181D69FEE92}"/>
    <dataValidation type="custom" errorStyle="warning" allowBlank="1" showInputMessage="1" showErrorMessage="1" error="需输入 8 月的日期，以便将此支出添加到“摘要”表" sqref="A16:A18 A3:A11" xr:uid="{646D0C0E-F084-431E-AD22-3B06B0638EDF}">
      <formula1>MONTH($A3)=8</formula1>
    </dataValidation>
    <dataValidation type="list" errorStyle="warning" allowBlank="1" showInputMessage="1" showErrorMessage="1" error="应从下拉列表中选择开支，以便“摘要”工作表中包含该开支" sqref="F3:F11" xr:uid="{65325E8D-0BE8-4CD9-B005-7C69A467925A}">
      <formula1>ExpenseCategories</formula1>
    </dataValidation>
  </dataValidations>
  <hyperlinks>
    <hyperlink ref="F1" location="摘要!A1" tooltip="选择以查看摘要" display="摘要" xr:uid="{A960D156-51E3-42C7-A866-5B7D01E86956}"/>
    <hyperlink ref="G1" location="提示!A1" tooltip="选择以导航到“提示”工作表" display="提示" xr:uid="{5EAE5DA3-F183-4FE0-9A4D-ED265950A519}"/>
  </hyperlink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  <legacy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41FEEAF-F899-4958-9AE2-631C301DBFFB}">
          <x14:formula1>
            <xm:f>投资收益表!$A$5:$A$11</xm:f>
          </x14:formula1>
          <xm:sqref>H15:H18 H3:H11</xm:sqref>
        </x14:dataValidation>
        <x14:dataValidation type="list" allowBlank="1" showInputMessage="1" showErrorMessage="1" xr:uid="{E3DA1F70-A017-4292-B4DB-5AD87EEB9039}">
          <x14:formula1>
            <xm:f>投资收益表!$A$5:$A$8</xm:f>
          </x14:formula1>
          <xm:sqref>F15:F18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FF0000"/>
    <pageSetUpPr autoPageBreaks="0" fitToPage="1"/>
  </sheetPr>
  <dimension ref="A1:H19"/>
  <sheetViews>
    <sheetView showGridLines="0" topLeftCell="A4" workbookViewId="0">
      <selection activeCell="A9" sqref="A9:XFD9"/>
    </sheetView>
  </sheetViews>
  <sheetFormatPr defaultColWidth="9.14453125" defaultRowHeight="30" customHeight="1"/>
  <cols>
    <col min="1" max="1" width="19.63671875" style="1" customWidth="1"/>
    <col min="2" max="2" width="15.6015625" style="1" hidden="1" customWidth="1"/>
    <col min="3" max="3" width="23" style="1" customWidth="1"/>
    <col min="4" max="4" width="17.484375" style="1" customWidth="1"/>
    <col min="5" max="5" width="26.5" style="1" customWidth="1"/>
    <col min="6" max="6" width="19.7734375" style="1" bestFit="1" customWidth="1"/>
    <col min="7" max="7" width="22.05859375" style="1" customWidth="1"/>
    <col min="8" max="16384" width="9.14453125" style="1"/>
  </cols>
  <sheetData>
    <row r="1" spans="1:8" ht="35.1" customHeight="1">
      <c r="A1" s="168" t="s">
        <v>24</v>
      </c>
      <c r="B1" s="168"/>
      <c r="C1" s="169"/>
      <c r="F1" s="33" t="s">
        <v>71</v>
      </c>
      <c r="G1" s="11" t="s">
        <v>30</v>
      </c>
    </row>
    <row r="2" spans="1:8" ht="17.100000000000001" customHeight="1">
      <c r="A2" s="7" t="s">
        <v>9</v>
      </c>
      <c r="B2" s="7" t="s">
        <v>10</v>
      </c>
      <c r="C2" s="7" t="s">
        <v>47</v>
      </c>
      <c r="D2" s="7" t="s">
        <v>46</v>
      </c>
      <c r="E2" s="7" t="s">
        <v>13</v>
      </c>
      <c r="F2" s="7" t="s">
        <v>15</v>
      </c>
      <c r="G2" s="7" t="s">
        <v>16</v>
      </c>
      <c r="H2" s="1" t="s">
        <v>91</v>
      </c>
    </row>
    <row r="3" spans="1:8" ht="30" customHeight="1">
      <c r="A3" s="12"/>
      <c r="B3" s="8"/>
      <c r="C3" s="8"/>
      <c r="D3" s="8"/>
      <c r="E3" s="28">
        <v>173631.04</v>
      </c>
      <c r="F3" s="8" t="s">
        <v>33</v>
      </c>
      <c r="G3" s="8" t="s">
        <v>17</v>
      </c>
      <c r="H3" s="1" t="s">
        <v>88</v>
      </c>
    </row>
    <row r="4" spans="1:8" ht="30" customHeight="1">
      <c r="A4" s="12"/>
      <c r="B4" s="8"/>
      <c r="C4" s="8"/>
      <c r="D4" s="8"/>
      <c r="E4" s="28">
        <v>0.32</v>
      </c>
      <c r="F4" s="8" t="s">
        <v>35</v>
      </c>
      <c r="G4" s="8"/>
      <c r="H4" s="1" t="s">
        <v>93</v>
      </c>
    </row>
    <row r="5" spans="1:8" ht="30" customHeight="1">
      <c r="A5" s="12"/>
      <c r="B5" s="8"/>
      <c r="C5" s="8"/>
      <c r="D5" s="8"/>
      <c r="E5" s="28">
        <v>22484.1</v>
      </c>
      <c r="F5" s="8" t="s">
        <v>31</v>
      </c>
      <c r="G5" s="8"/>
      <c r="H5" s="1" t="s">
        <v>85</v>
      </c>
    </row>
    <row r="6" spans="1:8" ht="30" customHeight="1">
      <c r="A6" s="12"/>
      <c r="B6" s="8"/>
      <c r="C6" s="8" t="e" vm="5">
        <v>#VALUE!</v>
      </c>
      <c r="D6" s="21">
        <v>0.01</v>
      </c>
      <c r="E6" s="17" cm="1">
        <f t="array" aca="1" ref="E6" ca="1">ExpNov[[#This Row],[特殊币种]]*_FV(ExpNov[[#This Row],[汇率（特殊-CNY）]],"Price")</f>
        <v>9.1669999999999998E-3</v>
      </c>
      <c r="F6" s="8" t="s">
        <v>43</v>
      </c>
      <c r="G6" s="8"/>
      <c r="H6" s="1" t="s">
        <v>93</v>
      </c>
    </row>
    <row r="7" spans="1:8" ht="30" customHeight="1">
      <c r="A7" s="12"/>
      <c r="B7" s="8"/>
      <c r="C7" s="8">
        <v>7.02</v>
      </c>
      <c r="D7" s="19">
        <v>1276.3800000000001</v>
      </c>
      <c r="E7" s="29">
        <f>ExpNov[[#This Row],[特殊币种]]*ExpNov[[#This Row],[汇率（特殊-CNY）]]</f>
        <v>8960.1876000000011</v>
      </c>
      <c r="F7" s="8" t="s">
        <v>41</v>
      </c>
      <c r="G7" s="8"/>
      <c r="H7" s="1" t="s">
        <v>86</v>
      </c>
    </row>
    <row r="8" spans="1:8" ht="30" customHeight="1">
      <c r="A8" s="12"/>
      <c r="B8" s="8"/>
      <c r="C8" s="8"/>
      <c r="D8" s="8"/>
      <c r="E8" s="29">
        <v>46395.65</v>
      </c>
      <c r="F8" s="8" t="s">
        <v>39</v>
      </c>
      <c r="G8" s="8"/>
      <c r="H8" s="1" t="s">
        <v>85</v>
      </c>
    </row>
    <row r="9" spans="1:8" ht="30" customHeight="1">
      <c r="A9" s="12"/>
      <c r="B9" s="8"/>
      <c r="C9" s="8"/>
      <c r="D9" s="8"/>
      <c r="E9" s="29">
        <v>69682.36</v>
      </c>
      <c r="F9" s="8" t="s">
        <v>37</v>
      </c>
      <c r="G9" s="8"/>
      <c r="H9" s="1" t="s">
        <v>89</v>
      </c>
    </row>
    <row r="10" spans="1:8" ht="30" customHeight="1">
      <c r="A10" s="12"/>
      <c r="B10" s="8"/>
      <c r="C10" s="8"/>
      <c r="D10" s="8"/>
      <c r="E10" s="29">
        <v>0.9</v>
      </c>
      <c r="F10" s="8" t="s">
        <v>50</v>
      </c>
      <c r="G10" s="8"/>
      <c r="H10" s="1" t="s">
        <v>93</v>
      </c>
    </row>
    <row r="11" spans="1:8" ht="30" customHeight="1">
      <c r="A11" s="12"/>
      <c r="B11" s="8"/>
      <c r="C11" s="8"/>
      <c r="D11" s="8"/>
      <c r="E11" s="29">
        <v>0.15</v>
      </c>
      <c r="F11" s="8" t="s">
        <v>52</v>
      </c>
      <c r="G11" s="8"/>
      <c r="H11" s="1" t="s">
        <v>93</v>
      </c>
    </row>
    <row r="12" spans="1:8" ht="30" customHeight="1">
      <c r="A12" s="9" t="s">
        <v>28</v>
      </c>
      <c r="B12" s="9"/>
      <c r="C12" s="9"/>
      <c r="D12" s="9"/>
      <c r="E12" s="34">
        <f ca="1">SUBTOTAL(109,ExpNov[金额])</f>
        <v>321154.71676700009</v>
      </c>
      <c r="F12" s="9"/>
      <c r="G12" s="9"/>
      <c r="H12" s="9"/>
    </row>
    <row r="14" spans="1:8" ht="30" customHeight="1">
      <c r="A14" s="7" t="s">
        <v>9</v>
      </c>
      <c r="B14" s="7" t="s">
        <v>59</v>
      </c>
      <c r="C14" s="7" t="s">
        <v>47</v>
      </c>
      <c r="D14" s="7" t="s">
        <v>46</v>
      </c>
      <c r="E14" s="7" t="s">
        <v>13</v>
      </c>
      <c r="F14" s="7" t="s">
        <v>15</v>
      </c>
      <c r="G14" s="7" t="s">
        <v>16</v>
      </c>
      <c r="H14" s="1" t="s">
        <v>92</v>
      </c>
    </row>
    <row r="15" spans="1:8" ht="30" customHeight="1">
      <c r="A15" s="12"/>
      <c r="B15" s="8"/>
      <c r="C15" s="8"/>
      <c r="D15" s="8"/>
      <c r="E15" s="17">
        <v>-841</v>
      </c>
      <c r="F15" s="8" t="s">
        <v>135</v>
      </c>
      <c r="G15" s="8" t="s">
        <v>141</v>
      </c>
      <c r="H15" s="1" t="s">
        <v>135</v>
      </c>
    </row>
    <row r="16" spans="1:8" ht="30" customHeight="1">
      <c r="A16" s="12"/>
      <c r="B16" s="8"/>
      <c r="C16" s="8"/>
      <c r="D16" s="8"/>
      <c r="E16" s="131">
        <v>1667.26</v>
      </c>
      <c r="F16" s="8" t="s">
        <v>137</v>
      </c>
      <c r="G16" s="8"/>
      <c r="H16" s="1" t="s">
        <v>137</v>
      </c>
    </row>
    <row r="17" spans="1:8" ht="30" customHeight="1">
      <c r="A17" s="12"/>
      <c r="B17" s="8"/>
      <c r="C17" s="8" t="e" vm="6">
        <v>#VALUE!</v>
      </c>
      <c r="D17" s="137">
        <v>0.01</v>
      </c>
      <c r="E17" s="131" cm="1">
        <f t="array" aca="1" ref="E17" ca="1">ExpNov投资组合[[#This Row],[特殊币种]]*_FV(ExpNov投资组合[[#This Row],[汇率（特殊-CNY）]],"Price")</f>
        <v>7.1264000000000008E-2</v>
      </c>
      <c r="F17" s="8" t="s">
        <v>86</v>
      </c>
      <c r="G17" s="8"/>
      <c r="H17" s="1" t="s">
        <v>86</v>
      </c>
    </row>
    <row r="18" spans="1:8" ht="30" customHeight="1">
      <c r="A18" s="12"/>
      <c r="B18" s="8"/>
      <c r="C18" s="8"/>
      <c r="D18" s="8"/>
      <c r="E18" s="131">
        <v>-91.75</v>
      </c>
      <c r="F18" s="8" t="s">
        <v>139</v>
      </c>
      <c r="G18" s="8"/>
      <c r="H18" s="1" t="s">
        <v>139</v>
      </c>
    </row>
    <row r="19" spans="1:8" ht="30" customHeight="1">
      <c r="A19" s="9" t="s">
        <v>28</v>
      </c>
      <c r="B19" s="9"/>
      <c r="C19" s="9"/>
      <c r="D19" s="9"/>
      <c r="E19" s="18">
        <f ca="1">SUBTOTAL(109,ExpNov投资组合[金额])</f>
        <v>734.58126400000003</v>
      </c>
      <c r="F19" s="9"/>
      <c r="G19" s="9"/>
      <c r="H19" s="9"/>
    </row>
  </sheetData>
  <mergeCells count="1">
    <mergeCell ref="A1:C1"/>
  </mergeCells>
  <phoneticPr fontId="10" type="noConversion"/>
  <dataValidations count="12">
    <dataValidation allowBlank="1" showInputMessage="1" showErrorMessage="1" prompt="此工作表中的表上列出了详细开支的大纲。单元格 D1 和 E1 中分别是“摘要”工作表和“提示”工作表的导航超链接" sqref="A1:C1" xr:uid="{22A01B44-B852-4FA7-B9F1-218D61F7763B}"/>
    <dataValidation allowBlank="1" showInputMessage="1" showErrorMessage="1" prompt="“摘要”工作表的导航超链接" sqref="F1" xr:uid="{96A3A726-E425-45B3-B086-2E3FB2471B1D}"/>
    <dataValidation allowBlank="1" showInputMessage="1" showErrorMessage="1" prompt="“提示”工作表的导航超链接" sqref="G1" xr:uid="{FFA17F08-4B60-47D6-A81A-CD67F3F085F5}"/>
    <dataValidation allowBlank="1" showInputMessage="1" showErrorMessage="1" prompt="在此列中输入支出日期" sqref="A2 A14:A15" xr:uid="{5DA2220B-A4E4-4092-B6A7-E63255E71282}"/>
    <dataValidation allowBlank="1" showInputMessage="1" showErrorMessage="1" prompt="在此列中输入 PO#" sqref="B2:D2 B14:D15" xr:uid="{446E550F-C60E-4CDF-816B-CCAAE87B6DFC}"/>
    <dataValidation allowBlank="1" showInputMessage="1" showErrorMessage="1" prompt="在此列中输入支出金额" sqref="E2 E14:E15" xr:uid="{FDAF593F-1631-49CD-9788-FDE1FE41350D}"/>
    <dataValidation allowBlank="1" showInputMessage="1" showErrorMessage="1" prompt="由“摘要”工作表中“支出摘要”表的“支出”列自动填充的支出类别列表。按 Alt+向下键可浏览列表。按 Enter 可选择类别" sqref="F2 F14" xr:uid="{3D95BEC8-0844-4CD4-8914-0BC77442F6C8}"/>
    <dataValidation allowBlank="1" showInputMessage="1" showErrorMessage="1" prompt="在此列中输入支出描述" sqref="G2 G14:G15" xr:uid="{08C374A8-AA16-45D0-B20B-CA7BACE63E08}"/>
    <dataValidation type="custom" errorStyle="warning" allowBlank="1" showInputMessage="1" showErrorMessage="1" errorTitle="金额验证" error="金额应为数字。" sqref="E3:E6 E16:E18" xr:uid="{25487C9F-6F45-42DB-AD69-6FB888711FE0}">
      <formula1>ISNUMBER($E3)</formula1>
    </dataValidation>
    <dataValidation type="custom" errorStyle="warning" allowBlank="1" showInputMessage="1" showErrorMessage="1" error="需输入 8 月的日期，以便将此支出添加到“摘要”表" sqref="A16:A18" xr:uid="{9790DE38-1693-4643-A716-B5395CBC3726}">
      <formula1>MONTH($A16)=8</formula1>
    </dataValidation>
    <dataValidation type="list" errorStyle="warning" allowBlank="1" showInputMessage="1" showErrorMessage="1" error="应从下拉列表中选择开支，以便“摘要”工作表中包含该开支" sqref="F3:F11" xr:uid="{6C42A0CF-338C-44D8-ADA7-48FD35C0D2F1}">
      <formula1>ExpenseCategories</formula1>
    </dataValidation>
    <dataValidation type="custom" errorStyle="warning" allowBlank="1" showInputMessage="1" showErrorMessage="1" error="需输入 11 月的日期，以便将此支出添加到“摘要”表" sqref="A3:A11" xr:uid="{46C02221-4067-4BA6-B18D-C833A65E01B1}">
      <formula1>MONTH($A3)=11</formula1>
    </dataValidation>
  </dataValidations>
  <hyperlinks>
    <hyperlink ref="F1" location="总资产摘要!R1C1" tooltip="选择以查看摘要" display="摘要" xr:uid="{00000000-0004-0000-0C00-000000000000}"/>
    <hyperlink ref="G1" location="提示!A1" tooltip="选择以导航到“提示”工作表" display="提示" xr:uid="{00000000-0004-0000-0C00-000001000000}"/>
  </hyperlink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4" r:id="rId4" name=" 2">
              <controlPr defaultSize="0" print="0" uiObject="1" autoLine="0" autoPict="0">
                <anchor moveWithCells="1" sizeWithCells="1">
                  <from>
                    <xdr:col>5</xdr:col>
                    <xdr:colOff>0</xdr:colOff>
                    <xdr:row>12</xdr:row>
                    <xdr:rowOff>0</xdr:rowOff>
                  </from>
                  <to>
                    <xdr:col>6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1B582F8-5B17-4419-AD2B-BA75CB58A900}">
          <x14:formula1>
            <xm:f>投资收益表!$A$5:$A$11</xm:f>
          </x14:formula1>
          <xm:sqref>H15:H18 H3:H11</xm:sqref>
        </x14:dataValidation>
        <x14:dataValidation type="list" allowBlank="1" showInputMessage="1" showErrorMessage="1" xr:uid="{90002276-B89F-4B03-9C07-3871291D0238}">
          <x14:formula1>
            <xm:f>投资收益表!$A$5:$A$8</xm:f>
          </x14:formula1>
          <xm:sqref>F15:F18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FFC000"/>
    <pageSetUpPr autoPageBreaks="0" fitToPage="1"/>
  </sheetPr>
  <dimension ref="A1:H19"/>
  <sheetViews>
    <sheetView showGridLines="0" workbookViewId="0">
      <selection activeCell="J9" sqref="J9"/>
    </sheetView>
  </sheetViews>
  <sheetFormatPr defaultColWidth="9.14453125" defaultRowHeight="30" customHeight="1"/>
  <cols>
    <col min="1" max="1" width="19.63671875" style="1" customWidth="1"/>
    <col min="2" max="2" width="15.6015625" style="1" hidden="1" customWidth="1"/>
    <col min="3" max="5" width="15.6015625" style="1" customWidth="1"/>
    <col min="6" max="7" width="30.53515625" style="1" customWidth="1"/>
    <col min="8" max="8" width="16.41015625" style="1" customWidth="1"/>
    <col min="9" max="16384" width="9.14453125" style="1"/>
  </cols>
  <sheetData>
    <row r="1" spans="1:8" ht="35.1" customHeight="1">
      <c r="A1" s="168" t="s">
        <v>25</v>
      </c>
      <c r="B1" s="168"/>
      <c r="C1" s="168"/>
      <c r="D1" s="168"/>
      <c r="E1" s="169"/>
      <c r="F1" s="33" t="s">
        <v>62</v>
      </c>
      <c r="G1" s="11" t="s">
        <v>6</v>
      </c>
    </row>
    <row r="2" spans="1:8" ht="17.100000000000001" customHeight="1">
      <c r="A2" s="7" t="s">
        <v>9</v>
      </c>
      <c r="B2" s="7" t="s">
        <v>10</v>
      </c>
      <c r="C2" s="7" t="s">
        <v>47</v>
      </c>
      <c r="D2" s="7" t="s">
        <v>46</v>
      </c>
      <c r="E2" s="7" t="s">
        <v>13</v>
      </c>
      <c r="F2" s="7" t="s">
        <v>15</v>
      </c>
      <c r="G2" s="7" t="s">
        <v>16</v>
      </c>
      <c r="H2" s="1" t="s">
        <v>91</v>
      </c>
    </row>
    <row r="3" spans="1:8" ht="30" customHeight="1">
      <c r="A3" s="12"/>
      <c r="B3" s="8"/>
      <c r="C3" s="8"/>
      <c r="D3" s="8"/>
      <c r="E3" s="28">
        <v>187595.64</v>
      </c>
      <c r="F3" s="8" t="s">
        <v>33</v>
      </c>
      <c r="G3" s="8"/>
      <c r="H3" s="1" t="s">
        <v>88</v>
      </c>
    </row>
    <row r="4" spans="1:8" ht="30" customHeight="1">
      <c r="A4" s="12"/>
      <c r="B4" s="8"/>
      <c r="C4" s="8"/>
      <c r="D4" s="8"/>
      <c r="E4" s="28">
        <v>468.18</v>
      </c>
      <c r="F4" s="8" t="s">
        <v>35</v>
      </c>
      <c r="G4" s="8"/>
      <c r="H4" s="1" t="s">
        <v>93</v>
      </c>
    </row>
    <row r="5" spans="1:8" ht="30" customHeight="1">
      <c r="A5" s="12"/>
      <c r="B5" s="8"/>
      <c r="C5" s="8"/>
      <c r="D5" s="8"/>
      <c r="E5" s="28">
        <v>26416.7</v>
      </c>
      <c r="F5" s="8" t="s">
        <v>31</v>
      </c>
      <c r="G5" s="8"/>
      <c r="H5" s="1" t="s">
        <v>85</v>
      </c>
    </row>
    <row r="6" spans="1:8" ht="30" customHeight="1">
      <c r="A6" s="12"/>
      <c r="B6" s="8"/>
      <c r="C6" s="8" t="e" vm="5">
        <v>#VALUE!</v>
      </c>
      <c r="D6" s="21">
        <v>0.01</v>
      </c>
      <c r="E6" s="17" cm="1">
        <f t="array" aca="1" ref="E6" ca="1">ExpDec[[#This Row],[特殊币种]]*_FV(ExpDec[[#This Row],[汇率（特殊-CNY）]],"Price")</f>
        <v>9.1669999999999998E-3</v>
      </c>
      <c r="F6" s="8" t="s">
        <v>43</v>
      </c>
      <c r="G6" s="8"/>
      <c r="H6" s="1" t="s">
        <v>93</v>
      </c>
    </row>
    <row r="7" spans="1:8" ht="30" customHeight="1">
      <c r="A7" s="12"/>
      <c r="B7" s="8"/>
      <c r="C7" s="8">
        <v>6.83</v>
      </c>
      <c r="D7" s="19">
        <v>1265.6400000000001</v>
      </c>
      <c r="E7" s="29">
        <f>ExpDec[[#This Row],[汇率（特殊-CNY）]]*ExpDec[[#This Row],[特殊币种]]</f>
        <v>8644.3212000000003</v>
      </c>
      <c r="F7" s="8" t="s">
        <v>41</v>
      </c>
      <c r="G7" s="8"/>
      <c r="H7" s="1" t="s">
        <v>86</v>
      </c>
    </row>
    <row r="8" spans="1:8" ht="30" customHeight="1">
      <c r="A8" s="12"/>
      <c r="B8" s="8"/>
      <c r="C8" s="8"/>
      <c r="D8" s="8"/>
      <c r="E8" s="29">
        <v>45130.43</v>
      </c>
      <c r="F8" s="8" t="s">
        <v>39</v>
      </c>
      <c r="G8" s="8"/>
      <c r="H8" s="1" t="s">
        <v>85</v>
      </c>
    </row>
    <row r="9" spans="1:8" ht="30" customHeight="1">
      <c r="A9" s="12"/>
      <c r="B9" s="8"/>
      <c r="C9" s="8"/>
      <c r="D9" s="8"/>
      <c r="E9" s="29">
        <v>56685.01</v>
      </c>
      <c r="F9" s="8" t="s">
        <v>37</v>
      </c>
      <c r="G9" s="8"/>
      <c r="H9" s="1" t="s">
        <v>89</v>
      </c>
    </row>
    <row r="10" spans="1:8" ht="30" customHeight="1">
      <c r="A10" s="12"/>
      <c r="B10" s="8"/>
      <c r="C10" s="8"/>
      <c r="D10" s="8"/>
      <c r="E10" s="29">
        <f>1.04+0.02</f>
        <v>1.06</v>
      </c>
      <c r="F10" s="8" t="s">
        <v>50</v>
      </c>
      <c r="G10" s="8"/>
      <c r="H10" s="1" t="s">
        <v>93</v>
      </c>
    </row>
    <row r="11" spans="1:8" ht="30" customHeight="1">
      <c r="A11" s="12"/>
      <c r="B11" s="8"/>
      <c r="C11" s="8"/>
      <c r="D11" s="8"/>
      <c r="E11" s="29">
        <v>63.5</v>
      </c>
      <c r="F11" s="8" t="s">
        <v>52</v>
      </c>
      <c r="G11" s="8"/>
      <c r="H11" s="1" t="s">
        <v>93</v>
      </c>
    </row>
    <row r="12" spans="1:8" ht="30" customHeight="1">
      <c r="A12" s="9" t="s">
        <v>28</v>
      </c>
      <c r="B12" s="9"/>
      <c r="C12" s="9"/>
      <c r="D12" s="9"/>
      <c r="E12" s="13">
        <f ca="1">SUBTOTAL(109,ExpDec[金额])</f>
        <v>325004.85036700004</v>
      </c>
      <c r="F12" s="9"/>
      <c r="G12" s="9"/>
      <c r="H12" s="9"/>
    </row>
    <row r="14" spans="1:8" ht="30" customHeight="1">
      <c r="A14" s="7" t="s">
        <v>9</v>
      </c>
      <c r="B14" s="7" t="s">
        <v>59</v>
      </c>
      <c r="C14" s="7" t="s">
        <v>47</v>
      </c>
      <c r="D14" s="7" t="s">
        <v>46</v>
      </c>
      <c r="E14" s="7" t="s">
        <v>13</v>
      </c>
      <c r="F14" s="7" t="s">
        <v>15</v>
      </c>
      <c r="G14" s="7" t="s">
        <v>16</v>
      </c>
      <c r="H14" s="1" t="s">
        <v>92</v>
      </c>
    </row>
    <row r="15" spans="1:8" ht="30" customHeight="1">
      <c r="A15" s="12"/>
      <c r="B15" s="8"/>
      <c r="C15" s="8"/>
      <c r="D15" s="8"/>
      <c r="E15" s="17">
        <v>9.07</v>
      </c>
      <c r="F15" s="8" t="s">
        <v>135</v>
      </c>
      <c r="G15" s="8" t="s">
        <v>141</v>
      </c>
      <c r="H15" s="1" t="s">
        <v>135</v>
      </c>
    </row>
    <row r="16" spans="1:8" ht="30" customHeight="1">
      <c r="A16" s="12"/>
      <c r="B16" s="8"/>
      <c r="C16" s="8"/>
      <c r="D16" s="8"/>
      <c r="E16" s="131">
        <v>219.6</v>
      </c>
      <c r="F16" s="8" t="s">
        <v>137</v>
      </c>
      <c r="G16" s="8"/>
      <c r="H16" s="1" t="s">
        <v>137</v>
      </c>
    </row>
    <row r="17" spans="1:8" ht="30" customHeight="1">
      <c r="A17" s="12"/>
      <c r="B17" s="8"/>
      <c r="C17" s="8" t="e" vm="6">
        <v>#VALUE!</v>
      </c>
      <c r="D17" s="137"/>
      <c r="E17" s="131">
        <v>0</v>
      </c>
      <c r="F17" s="8" t="s">
        <v>86</v>
      </c>
      <c r="G17" s="8"/>
      <c r="H17" s="1" t="s">
        <v>86</v>
      </c>
    </row>
    <row r="18" spans="1:8" ht="30" customHeight="1">
      <c r="A18" s="12"/>
      <c r="B18" s="8"/>
      <c r="C18" s="8"/>
      <c r="D18" s="8"/>
      <c r="E18" s="131">
        <v>289.77</v>
      </c>
      <c r="F18" s="8" t="s">
        <v>139</v>
      </c>
      <c r="G18" s="8"/>
      <c r="H18" s="1" t="s">
        <v>139</v>
      </c>
    </row>
    <row r="19" spans="1:8" ht="30" customHeight="1">
      <c r="A19" s="9" t="s">
        <v>28</v>
      </c>
      <c r="B19" s="9"/>
      <c r="C19" s="9"/>
      <c r="D19" s="9"/>
      <c r="E19" s="18">
        <f>SUBTOTAL(109,ExpDec投资组合[金额])</f>
        <v>518.43999999999994</v>
      </c>
      <c r="F19" s="9"/>
      <c r="G19" s="9"/>
      <c r="H19" s="9"/>
    </row>
  </sheetData>
  <mergeCells count="1">
    <mergeCell ref="A1:E1"/>
  </mergeCells>
  <phoneticPr fontId="10" type="noConversion"/>
  <dataValidations count="12">
    <dataValidation allowBlank="1" showInputMessage="1" showErrorMessage="1" prompt="此工作表中的表上列出了详细开支的大纲。单元格 D1 和 E1 中分别是“摘要”工作表和“提示”工作表的导航超链接" sqref="A1:E1" xr:uid="{00000000-0002-0000-0D00-000001000000}"/>
    <dataValidation allowBlank="1" showInputMessage="1" showErrorMessage="1" prompt="“摘要”工作表的导航超链接" sqref="F1" xr:uid="{00000000-0002-0000-0D00-000002000000}"/>
    <dataValidation allowBlank="1" showInputMessage="1" showErrorMessage="1" prompt="“提示”工作表的导航超链接" sqref="G1" xr:uid="{00000000-0002-0000-0D00-000003000000}"/>
    <dataValidation allowBlank="1" showInputMessage="1" showErrorMessage="1" prompt="在此列中输入支出日期" sqref="A2 A14:A15" xr:uid="{00000000-0002-0000-0D00-000004000000}"/>
    <dataValidation allowBlank="1" showInputMessage="1" showErrorMessage="1" prompt="在此列中输入 PO#" sqref="B2:D2 B14:D15" xr:uid="{00000000-0002-0000-0D00-000005000000}"/>
    <dataValidation allowBlank="1" showInputMessage="1" showErrorMessage="1" prompt="在此列中输入支出金额" sqref="E2 E14:E15" xr:uid="{00000000-0002-0000-0D00-000006000000}"/>
    <dataValidation allowBlank="1" showInputMessage="1" showErrorMessage="1" prompt="由“摘要”工作表中“支出摘要”表的“支出”列自动填充的支出类别列表。按 Alt+向下键可浏览列表。按 Enter 可选择类别" sqref="F2 F14" xr:uid="{00000000-0002-0000-0D00-000007000000}"/>
    <dataValidation allowBlank="1" showInputMessage="1" showErrorMessage="1" prompt="在此列中输入支出描述" sqref="G2 G14:G15" xr:uid="{00000000-0002-0000-0D00-000008000000}"/>
    <dataValidation type="custom" errorStyle="warning" allowBlank="1" showInputMessage="1" showErrorMessage="1" errorTitle="金额验证" error="金额应为数字。" sqref="E3:E6 E16:E18" xr:uid="{F6512616-1121-4E91-B80A-9C4AE23BF085}">
      <formula1>ISNUMBER($E3)</formula1>
    </dataValidation>
    <dataValidation type="custom" errorStyle="warning" allowBlank="1" showInputMessage="1" showErrorMessage="1" error="需输入 8 月的日期，以便将此支出添加到“摘要”表" sqref="A16:A18" xr:uid="{D5B37BEF-5961-47ED-9BA6-1DAB8634C818}">
      <formula1>MONTH($A16)=8</formula1>
    </dataValidation>
    <dataValidation type="list" errorStyle="warning" allowBlank="1" showInputMessage="1" showErrorMessage="1" error="应从下拉列表中选择开支，以便“摘要”工作表中包含该开支" sqref="F3:F11" xr:uid="{1989F20D-2387-4DDA-9440-9BB9121957F8}">
      <formula1>ExpenseCategories</formula1>
    </dataValidation>
    <dataValidation type="custom" errorStyle="warning" allowBlank="1" showInputMessage="1" showErrorMessage="1" error="需输入 12 月的日期，以便将此支出添加到“摘要”表" sqref="A3:A11" xr:uid="{00000000-0002-0000-0D00-00000A000000}">
      <formula1>MONTH($A3)=12</formula1>
    </dataValidation>
  </dataValidations>
  <hyperlinks>
    <hyperlink ref="F1" location="总资产摘要!A1" tooltip="选择以查看摘要" display="摘要" xr:uid="{00000000-0004-0000-0D00-000000000000}"/>
    <hyperlink ref="G1" location="提示!A1" tooltip="选择以导航到“提示”工作表" display="提示" xr:uid="{00000000-0004-0000-0D00-000001000000}"/>
  </hyperlink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8" r:id="rId4" name=" 2">
              <controlPr defaultSize="0" print="0" uiObject="1" autoLine="0" autoPict="0">
                <anchor moveWithCells="1" sizeWithCells="1">
                  <from>
                    <xdr:col>6</xdr:col>
                    <xdr:colOff>0</xdr:colOff>
                    <xdr:row>0</xdr:row>
                    <xdr:rowOff>0</xdr:rowOff>
                  </from>
                  <to>
                    <xdr:col>7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625A022-71EB-4BFB-A1C6-7445F5005783}">
          <x14:formula1>
            <xm:f>投资收益表!$A$5:$A$11</xm:f>
          </x14:formula1>
          <xm:sqref>H15:H18 H3:H11</xm:sqref>
        </x14:dataValidation>
        <x14:dataValidation type="list" allowBlank="1" showInputMessage="1" showErrorMessage="1" xr:uid="{9E7BC36E-D006-49D3-A1C8-40764ADBE984}">
          <x14:formula1>
            <xm:f>投资收益表!$A$5:$A$8</xm:f>
          </x14:formula1>
          <xm:sqref>F15:F18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autoPageBreaks="0" fitToPage="1"/>
  </sheetPr>
  <dimension ref="A1:A18"/>
  <sheetViews>
    <sheetView showGridLines="0" zoomScale="90" zoomScaleNormal="90" workbookViewId="0">
      <selection activeCell="C11" sqref="C11"/>
    </sheetView>
  </sheetViews>
  <sheetFormatPr defaultColWidth="9.01171875" defaultRowHeight="30" customHeight="1"/>
  <cols>
    <col min="1" max="1" width="157.390625" style="1" customWidth="1"/>
    <col min="2" max="16384" width="9.01171875" style="1"/>
  </cols>
  <sheetData>
    <row r="1" spans="1:1" ht="35.1" customHeight="1">
      <c r="A1" s="6" t="s">
        <v>0</v>
      </c>
    </row>
    <row r="2" spans="1:1" ht="30" customHeight="1">
      <c r="A2" s="2" t="s">
        <v>1</v>
      </c>
    </row>
    <row r="3" spans="1:1" ht="30" customHeight="1">
      <c r="A3" s="3" t="s">
        <v>26</v>
      </c>
    </row>
    <row r="4" spans="1:1" ht="30" customHeight="1">
      <c r="A4" s="3" t="s">
        <v>27</v>
      </c>
    </row>
    <row r="5" spans="1:1" ht="30" customHeight="1">
      <c r="A5" s="2" t="s">
        <v>2</v>
      </c>
    </row>
    <row r="6" spans="1:1" ht="30" customHeight="1">
      <c r="A6" s="3" t="s">
        <v>3</v>
      </c>
    </row>
    <row r="7" spans="1:1" ht="30" customHeight="1">
      <c r="A7" s="4" t="str">
        <f>ROW(A1)&amp;". 如果表格中没有总计行，请在表格下方开始键入，当你按下 Enter 或 Tab 键时，它将自动展开。"</f>
        <v>1. 如果表格中没有总计行，请在表格下方开始键入，当你按下 Enter 或 Tab 键时，它将自动展开。</v>
      </c>
    </row>
    <row r="8" spans="1:1" ht="30" customHeight="1">
      <c r="A8" s="4" t="str">
        <f>ROW(A2)&amp;". 将单元格指针放在总计行上方的最后一个单元格（如，最后一个费用的总计），然后按 Tab 键。"</f>
        <v>2. 将单元格指针放在总计行上方的最后一个单元格（如，最后一个费用的总计），然后按 Tab 键。</v>
      </c>
    </row>
    <row r="9" spans="1:1" ht="30" customHeight="1">
      <c r="A9" s="4" t="str">
        <f>ROW(A3)&amp;". 右键单击表格，然后在弹出菜单上，指向“插入”，然后单击“在上方插入表行”或“在下方插入表行”。"</f>
        <v>3. 右键单击表格，然后在弹出菜单上，指向“插入”，然后单击“在上方插入表行”或“在下方插入表行”。</v>
      </c>
    </row>
    <row r="10" spans="1:1" ht="30" customHeight="1">
      <c r="A10" s="4" t="str">
        <f>ROW(A4)&amp;". 在表格的右下角，将鼠标放在表格的尺寸控点上并向下拖动以增加可用表行数。"</f>
        <v>4. 在表格的右下角，将鼠标放在表格的尺寸控点上并向下拖动以增加可用表行数。</v>
      </c>
    </row>
    <row r="11" spans="1:1" ht="30" customHeight="1">
      <c r="A11" s="3" t="s">
        <v>29</v>
      </c>
    </row>
    <row r="12" spans="1:1" ht="30" customHeight="1">
      <c r="A12" s="3" t="s">
        <v>4</v>
      </c>
    </row>
    <row r="13" spans="1:1" ht="30" customHeight="1">
      <c r="A13" s="3" t="s">
        <v>5</v>
      </c>
    </row>
    <row r="14" spans="1:1" ht="30" customHeight="1">
      <c r="A14" s="4" t="str">
        <f>ROW(A1)&amp;". 在“费用汇总”表的“费用”下的汇总工作表中输入“费用 1”（作为费用类型的标题）"</f>
        <v>1. 在“费用汇总”表的“费用”下的汇总工作表中输入“费用 1”（作为费用类型的标题）</v>
      </c>
    </row>
    <row r="15" spans="1:1" ht="30" customHeight="1">
      <c r="A15" s="4" t="str">
        <f>ROW(A2)&amp;". 对于发生费用的每个月，在相应的月份工作表中输入费用金额。"</f>
        <v>2. 对于发生费用的每个月，在相应的月份工作表中输入费用金额。</v>
      </c>
    </row>
    <row r="16" spans="1:1" ht="30" customHeight="1">
      <c r="A16" s="5" t="str">
        <f>ROW(A3)&amp;". “费用汇总”工作表的费用类型为每月工作表的“类别”列创建了类别列表。"</f>
        <v>3. “费用汇总”工作表的费用类型为每月工作表的“类别”列创建了类别列表。</v>
      </c>
    </row>
    <row r="17" spans="1:1" ht="30" customHeight="1">
      <c r="A17" s="5" t="str">
        <f>ROW(A4)&amp;". 使用“类别”列的类别列表为输入的费用金额选择相应的费用类型"</f>
        <v>4. 使用“类别”列的类别列表为输入的费用金额选择相应的费用类型</v>
      </c>
    </row>
    <row r="18" spans="1:1" ht="30" customHeight="1">
      <c r="A18" s="5" t="str">
        <f>ROW(A5)&amp;". 若要添加每个月份的新增费用，请在汇总工作表的“费用汇总”表中添加新行，然后在适用的月份工作表中输入相应的费用详细信息。"</f>
        <v>5. 若要添加每个月份的新增费用，请在汇总工作表的“费用汇总”表中添加新行，然后在适用的月份工作表中输入相应的费用详细信息。</v>
      </c>
    </row>
  </sheetData>
  <phoneticPr fontId="10" type="noConversion"/>
  <dataValidations count="1">
    <dataValidation allowBlank="1" showInputMessage="1" showErrorMessage="1" prompt="介绍如何使用此工作簿的提示工作表" sqref="A1" xr:uid="{00000000-0002-0000-0000-000000000000}"/>
  </dataValidation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BDA1-CF80-4CF0-9186-1DA80D94A000}">
  <dimension ref="A1:X174"/>
  <sheetViews>
    <sheetView workbookViewId="0">
      <selection activeCell="N46" sqref="N46"/>
    </sheetView>
  </sheetViews>
  <sheetFormatPr defaultRowHeight="15"/>
  <cols>
    <col min="2" max="2" width="10.4921875" bestFit="1" customWidth="1"/>
  </cols>
  <sheetData>
    <row r="1" spans="1:20">
      <c r="A1">
        <v>0</v>
      </c>
      <c r="B1">
        <f ca="1">SUM(总资产摘要!$B$5:$M$5)/SUM(总资产摘要!$B$5:$M$13)*100</f>
        <v>12.529000313891292</v>
      </c>
      <c r="C1">
        <f ca="1">SUM(总资产摘要!$B$5:$M$5)/SUM(总资产摘要!$B$5:$M$13)*100</f>
        <v>12.529000313891292</v>
      </c>
      <c r="D1">
        <f ca="1">SUM(总资产摘要!$B$6:$M$6)/SUM(总资产摘要!$B$5:$M$13)*100+Kutools_Chart!$B$1</f>
        <v>74.131252489976788</v>
      </c>
      <c r="E1">
        <f ca="1">SUM(总资产摘要!$B$6:$M$6)/SUM(总资产摘要!$B$5:$M$13)*100+Kutools_Chart!$B$1</f>
        <v>74.131252489976788</v>
      </c>
      <c r="F1">
        <f ca="1">SUM(总资产摘要!$B$7:$M$7)/SUM(总资产摘要!$B$5:$M$13)*100+Kutools_Chart!$D$1</f>
        <v>75.016797953985844</v>
      </c>
      <c r="G1">
        <f ca="1">SUM(总资产摘要!$B$7:$M$7)/SUM(总资产摘要!$B$5:$M$13)*100+Kutools_Chart!$D$1</f>
        <v>75.016797953985844</v>
      </c>
      <c r="H1">
        <f ca="1">SUM(总资产摘要!$B$8:$M$8)/SUM(总资产摘要!$B$5:$M$13)*100+Kutools_Chart!$F$1</f>
        <v>75.142445006721218</v>
      </c>
      <c r="I1">
        <f ca="1">SUM(总资产摘要!$B$8:$M$8)/SUM(总资产摘要!$B$5:$M$13)*100+Kutools_Chart!$F$1</f>
        <v>75.142445006721218</v>
      </c>
      <c r="J1">
        <f ca="1">SUM(总资产摘要!$B$9:$M$9)/SUM(总资产摘要!$B$5:$M$13)*100+Kutools_Chart!$H$1</f>
        <v>75.374138591529217</v>
      </c>
      <c r="K1">
        <f ca="1">SUM(总资产摘要!$B$9:$M$9)/SUM(总资产摘要!$B$5:$M$13)*100+Kutools_Chart!$H$1</f>
        <v>75.374138591529217</v>
      </c>
      <c r="L1">
        <f ca="1">SUM(总资产摘要!$B$10:$M$10)/SUM(总资产摘要!$B$5:$M$13)*100+Kutools_Chart!$J$1</f>
        <v>75.428794619204083</v>
      </c>
      <c r="M1">
        <f ca="1">SUM(总资产摘要!$B$10:$M$10)/SUM(总资产摘要!$B$5:$M$13)*100+Kutools_Chart!$J$1</f>
        <v>75.428794619204083</v>
      </c>
      <c r="N1">
        <f ca="1">SUM(总资产摘要!$B$11:$M$11)/SUM(总资产摘要!$B$5:$M$13)*100+Kutools_Chart!$L$1</f>
        <v>88.072822348986236</v>
      </c>
      <c r="O1">
        <f ca="1">SUM(总资产摘要!$B$11:$M$11)/SUM(总资产摘要!$B$5:$M$13)*100+Kutools_Chart!$L$1</f>
        <v>88.072822348986236</v>
      </c>
      <c r="P1">
        <f ca="1">SUM(总资产摘要!$B$12:$M$12)/SUM(总资产摘要!$B$5:$M$13)*100+Kutools_Chart!$N$1</f>
        <v>97.724764512432287</v>
      </c>
      <c r="Q1">
        <f ca="1">SUM(总资产摘要!$B$12:$M$12)/SUM(总资产摘要!$B$5:$M$13)*100+Kutools_Chart!$N$1</f>
        <v>97.724764512432287</v>
      </c>
      <c r="R1">
        <f ca="1">SUM(总资产摘要!$B$13:$M$13)/SUM(总资产摘要!$B$5:$M$13)*100+Kutools_Chart!$P$1</f>
        <v>99.999999999999929</v>
      </c>
      <c r="S1">
        <f ca="1">SUM(总资产摘要!$B$13:$M$13)/SUM(总资产摘要!$B$5:$M$13)*100+Kutools_Chart!$P$1</f>
        <v>99.999999999999929</v>
      </c>
      <c r="T1">
        <v>100</v>
      </c>
    </row>
    <row r="2" spans="1:20">
      <c r="A2">
        <f>总资产摘要!$B$5/SUM(总资产摘要!$B$5:$M$5)</f>
        <v>8.1079586434480197E-2</v>
      </c>
      <c r="B2">
        <f>总资产摘要!$B$5/SUM(总资产摘要!$B$5:$M$5)</f>
        <v>8.1079586434480197E-2</v>
      </c>
      <c r="C2">
        <f>总资产摘要!$B$6/SUM(总资产摘要!$B$6:$M$6)</f>
        <v>6.9022433263170313E-2</v>
      </c>
      <c r="D2">
        <f>总资产摘要!$B$6/SUM(总资产摘要!$B$6:$M$6)</f>
        <v>6.9022433263170313E-2</v>
      </c>
      <c r="E2">
        <f>总资产摘要!$B$7/SUM(总资产摘要!$B$7:$M$7)</f>
        <v>5.2743633543773309E-2</v>
      </c>
      <c r="F2">
        <f>总资产摘要!$B$7/SUM(总资产摘要!$B$7:$M$7)</f>
        <v>5.2743633543773309E-2</v>
      </c>
      <c r="G2">
        <f ca="1">总资产摘要!$B$8/SUM(总资产摘要!$B$8:$M$8)</f>
        <v>1.6078630357193937E-6</v>
      </c>
      <c r="H2">
        <f ca="1">总资产摘要!$B$8/SUM(总资产摘要!$B$8:$M$8)</f>
        <v>1.6078630357193937E-6</v>
      </c>
      <c r="I2">
        <f>总资产摘要!$B$9/SUM(总资产摘要!$B$9:$M$9)</f>
        <v>1.9023486396304876E-5</v>
      </c>
      <c r="J2">
        <f>总资产摘要!$B$9/SUM(总资产摘要!$B$9:$M$9)</f>
        <v>1.9023486396304876E-5</v>
      </c>
      <c r="K2">
        <f>总资产摘要!$B$10/SUM(总资产摘要!$B$10:$M$10)</f>
        <v>5.4377497409347331E-2</v>
      </c>
      <c r="L2">
        <f>总资产摘要!$B$10/SUM(总资产摘要!$B$10:$M$10)</f>
        <v>5.4377497409347331E-2</v>
      </c>
      <c r="M2">
        <f>总资产摘要!$B$11/SUM(总资产摘要!$B$11:$M$11)</f>
        <v>7.1983080828820337E-2</v>
      </c>
      <c r="N2">
        <f>总资产摘要!$B$11/SUM(总资产摘要!$B$11:$M$11)</f>
        <v>7.1983080828820337E-2</v>
      </c>
      <c r="O2">
        <f>总资产摘要!$B$12/SUM(总资产摘要!$B$12:$M$12)</f>
        <v>0.10637501492980543</v>
      </c>
      <c r="P2">
        <f>总资产摘要!$B$12/SUM(总资产摘要!$B$12:$M$12)</f>
        <v>0.10637501492980543</v>
      </c>
      <c r="Q2">
        <f>总资产摘要!$B$13/SUM(总资产摘要!$B$13:$M$13)</f>
        <v>8.5683777709105013E-2</v>
      </c>
      <c r="R2">
        <f>总资产摘要!$B$13/SUM(总资产摘要!$B$13:$M$13)</f>
        <v>8.5683777709105013E-2</v>
      </c>
      <c r="S2" t="e">
        <f>总资产摘要!#REF!/SUM(总资产摘要!#REF!)</f>
        <v>#REF!</v>
      </c>
      <c r="T2" t="e">
        <f>总资产摘要!#REF!/SUM(总资产摘要!#REF!)</f>
        <v>#REF!</v>
      </c>
    </row>
    <row r="3" spans="1:20">
      <c r="A3">
        <f>总资产摘要!$C$5/SUM(总资产摘要!$B$5:$M$5)</f>
        <v>1.7589670557431438E-8</v>
      </c>
      <c r="B3">
        <f>总资产摘要!$C$5/SUM(总资产摘要!$B$5:$M$5)</f>
        <v>1.7589670557431438E-8</v>
      </c>
      <c r="C3">
        <f>总资产摘要!$C$6/SUM(总资产摘要!$B$6:$M$6)</f>
        <v>9.3081637252389715E-2</v>
      </c>
      <c r="D3">
        <f>总资产摘要!$C$6/SUM(总资产摘要!$B$6:$M$6)</f>
        <v>9.3081637252389715E-2</v>
      </c>
      <c r="E3">
        <f>总资产摘要!$C$7/SUM(总资产摘要!$B$7:$M$7)</f>
        <v>5.1883557211998867E-2</v>
      </c>
      <c r="F3">
        <f>总资产摘要!$C$7/SUM(总资产摘要!$B$7:$M$7)</f>
        <v>5.1883557211998867E-2</v>
      </c>
      <c r="G3">
        <f ca="1">总资产摘要!$C$8/SUM(总资产摘要!$B$8:$M$8)</f>
        <v>1.6078630357193937E-6</v>
      </c>
      <c r="H3">
        <f ca="1">总资产摘要!$C$8/SUM(总资产摘要!$B$8:$M$8)</f>
        <v>1.6078630357193937E-6</v>
      </c>
      <c r="I3">
        <f>总资产摘要!$C$9/SUM(总资产摘要!$B$9:$M$9)</f>
        <v>0.95942861056260054</v>
      </c>
      <c r="J3">
        <f>总资产摘要!$C$9/SUM(总资产摘要!$B$9:$M$9)</f>
        <v>0.95942861056260054</v>
      </c>
      <c r="K3">
        <f>总资产摘要!$C$10/SUM(总资产摘要!$B$10:$M$10)</f>
        <v>0.34926836742511308</v>
      </c>
      <c r="L3">
        <f>总资产摘要!$C$10/SUM(总资产摘要!$B$10:$M$10)</f>
        <v>0.34926836742511308</v>
      </c>
      <c r="M3">
        <f>总资产摘要!$C$11/SUM(总资产摘要!$B$11:$M$11)</f>
        <v>7.4290644586134338E-2</v>
      </c>
      <c r="N3">
        <f>总资产摘要!$C$11/SUM(总资产摘要!$B$11:$M$11)</f>
        <v>7.4290644586134338E-2</v>
      </c>
      <c r="O3">
        <f>总资产摘要!$C$12/SUM(总资产摘要!$B$12:$M$12)</f>
        <v>0.1113942608218228</v>
      </c>
      <c r="P3">
        <f>总资产摘要!$C$12/SUM(总资产摘要!$B$12:$M$12)</f>
        <v>0.1113942608218228</v>
      </c>
      <c r="Q3">
        <f>总资产摘要!$C$13/SUM(总资产摘要!$B$13:$M$13)</f>
        <v>7.294029668108841E-2</v>
      </c>
      <c r="R3">
        <f>总资产摘要!$C$13/SUM(总资产摘要!$B$13:$M$13)</f>
        <v>7.294029668108841E-2</v>
      </c>
      <c r="S3" t="e">
        <f>总资产摘要!#REF!/SUM(总资产摘要!#REF!)</f>
        <v>#REF!</v>
      </c>
      <c r="T3" t="e">
        <f>总资产摘要!#REF!/SUM(总资产摘要!#REF!)</f>
        <v>#REF!</v>
      </c>
    </row>
    <row r="4" spans="1:20">
      <c r="A4">
        <f>总资产摘要!$D$5/SUM(总资产摘要!$B$5:$M$5)</f>
        <v>1.7589670557431438E-8</v>
      </c>
      <c r="B4">
        <f>总资产摘要!$D$5/SUM(总资产摘要!$B$5:$M$5)</f>
        <v>1.7589670557431438E-8</v>
      </c>
      <c r="C4">
        <f>总资产摘要!$D$6/SUM(总资产摘要!$B$6:$M$6)</f>
        <v>0.15350079000118214</v>
      </c>
      <c r="D4">
        <f>总资产摘要!$D$6/SUM(总资产摘要!$B$6:$M$6)</f>
        <v>0.15350079000118214</v>
      </c>
      <c r="E4">
        <f>总资产摘要!$D$7/SUM(总资产摘要!$B$7:$M$7)</f>
        <v>4.9123150188838526E-2</v>
      </c>
      <c r="F4">
        <f>总资产摘要!$D$7/SUM(总资产摘要!$B$7:$M$7)</f>
        <v>4.9123150188838526E-2</v>
      </c>
      <c r="G4">
        <f ca="1">总资产摘要!$D$8/SUM(总资产摘要!$B$8:$M$8)</f>
        <v>1.6078630357193937E-6</v>
      </c>
      <c r="H4">
        <f ca="1">总资产摘要!$D$8/SUM(总资产摘要!$B$8:$M$8)</f>
        <v>1.6078630357193937E-6</v>
      </c>
      <c r="I4">
        <f>总资产摘要!$D$9/SUM(总资产摘要!$B$9:$M$9)</f>
        <v>1.9023486396304876E-6</v>
      </c>
      <c r="J4">
        <f>总资产摘要!$D$9/SUM(总资产摘要!$B$9:$M$9)</f>
        <v>1.9023486396304876E-6</v>
      </c>
      <c r="K4">
        <f>总资产摘要!$D$10/SUM(总资产摘要!$B$10:$M$10)</f>
        <v>2.9595938824307382E-3</v>
      </c>
      <c r="L4">
        <f>总资产摘要!$D$10/SUM(总资产摘要!$B$10:$M$10)</f>
        <v>2.9595938824307382E-3</v>
      </c>
      <c r="M4">
        <f>总资产摘要!$D$11/SUM(总资产摘要!$B$11:$M$11)</f>
        <v>9.5670011114539724E-2</v>
      </c>
      <c r="N4">
        <f>总资产摘要!$D$11/SUM(总资产摘要!$B$11:$M$11)</f>
        <v>9.5670011114539724E-2</v>
      </c>
      <c r="O4">
        <f>总资产摘要!$D$12/SUM(总资产摘要!$B$12:$M$12)</f>
        <v>0.11020505943620898</v>
      </c>
      <c r="P4">
        <f>总资产摘要!$D$12/SUM(总资产摘要!$B$12:$M$12)</f>
        <v>0.11020505943620898</v>
      </c>
      <c r="Q4">
        <f>总资产摘要!$D$13/SUM(总资产摘要!$B$13:$M$13)</f>
        <v>7.5991413795397741E-2</v>
      </c>
      <c r="R4">
        <f>总资产摘要!$D$13/SUM(总资产摘要!$B$13:$M$13)</f>
        <v>7.5991413795397741E-2</v>
      </c>
      <c r="S4" t="e">
        <f>总资产摘要!#REF!/SUM(总资产摘要!#REF!)</f>
        <v>#REF!</v>
      </c>
      <c r="T4" t="e">
        <f>总资产摘要!#REF!/SUM(总资产摘要!#REF!)</f>
        <v>#REF!</v>
      </c>
    </row>
    <row r="5" spans="1:20">
      <c r="A5">
        <f>总资产摘要!$E$5/SUM(总资产摘要!$B$5:$M$5)</f>
        <v>0</v>
      </c>
      <c r="B5">
        <f>总资产摘要!$E$5/SUM(总资产摘要!$B$5:$M$5)</f>
        <v>0</v>
      </c>
      <c r="C5">
        <f>总资产摘要!$E$6/SUM(总资产摘要!$B$6:$M$6)</f>
        <v>0.12652518996397061</v>
      </c>
      <c r="D5">
        <f>总资产摘要!$E$6/SUM(总资产摘要!$B$6:$M$6)</f>
        <v>0.12652518996397061</v>
      </c>
      <c r="E5">
        <f>总资产摘要!$E$7/SUM(总资产摘要!$B$7:$M$7)</f>
        <v>1.3209737178989452E-3</v>
      </c>
      <c r="F5">
        <f>总资产摘要!$E$7/SUM(总资产摘要!$B$7:$M$7)</f>
        <v>1.3209737178989452E-3</v>
      </c>
      <c r="G5">
        <f ca="1">总资产摘要!$E$8/SUM(总资产摘要!$B$8:$M$8)</f>
        <v>1.6078630357193937E-6</v>
      </c>
      <c r="H5">
        <f ca="1">总资产摘要!$E$8/SUM(总资产摘要!$B$8:$M$8)</f>
        <v>1.6078630357193937E-6</v>
      </c>
      <c r="I5">
        <f>总资产摘要!$E$9/SUM(总资产摘要!$B$9:$M$9)</f>
        <v>3.8046972792609752E-6</v>
      </c>
      <c r="J5">
        <f>总资产摘要!$E$9/SUM(总资产摘要!$B$9:$M$9)</f>
        <v>3.8046972792609752E-6</v>
      </c>
      <c r="K5">
        <f>总资产摘要!$E$10/SUM(总资产摘要!$B$10:$M$10)</f>
        <v>7.6610740825863786E-4</v>
      </c>
      <c r="L5">
        <f>总资产摘要!$E$10/SUM(总资产摘要!$B$10:$M$10)</f>
        <v>7.6610740825863786E-4</v>
      </c>
      <c r="M5">
        <f>总资产摘要!$E$11/SUM(总资产摘要!$B$11:$M$11)</f>
        <v>0.24405779630371488</v>
      </c>
      <c r="N5">
        <f>总资产摘要!$E$11/SUM(总资产摘要!$B$11:$M$11)</f>
        <v>0.24405779630371488</v>
      </c>
      <c r="O5">
        <f>总资产摘要!$E$12/SUM(总资产摘要!$B$12:$M$12)</f>
        <v>0.11108544702959833</v>
      </c>
      <c r="P5">
        <f>总资产摘要!$E$12/SUM(总资产摘要!$B$12:$M$12)</f>
        <v>0.11108544702959833</v>
      </c>
      <c r="Q5">
        <f>总资产摘要!$E$13/SUM(总资产摘要!$B$13:$M$13)</f>
        <v>7.737381024490772E-2</v>
      </c>
      <c r="R5">
        <f>总资产摘要!$E$13/SUM(总资产摘要!$B$13:$M$13)</f>
        <v>7.737381024490772E-2</v>
      </c>
      <c r="S5" t="e">
        <f>总资产摘要!#REF!/SUM(总资产摘要!#REF!)</f>
        <v>#REF!</v>
      </c>
      <c r="T5" t="e">
        <f>总资产摘要!#REF!/SUM(总资产摘要!#REF!)</f>
        <v>#REF!</v>
      </c>
    </row>
    <row r="6" spans="1:20">
      <c r="A6">
        <f>总资产摘要!$F$5/SUM(总资产摘要!$B$5:$M$5)</f>
        <v>0</v>
      </c>
      <c r="B6">
        <f>总资产摘要!$F$5/SUM(总资产摘要!$B$5:$M$5)</f>
        <v>0</v>
      </c>
      <c r="C6">
        <f>总资产摘要!$F$6/SUM(总资产摘要!$B$6:$M$6)</f>
        <v>0.13329856664151124</v>
      </c>
      <c r="D6">
        <f>总资产摘要!$F$6/SUM(总资产摘要!$B$6:$M$6)</f>
        <v>0.13329856664151124</v>
      </c>
      <c r="E6">
        <f>总资产摘要!$F$7/SUM(总资产摘要!$B$7:$M$7)</f>
        <v>1.3177384770676178E-3</v>
      </c>
      <c r="F6">
        <f>总资产摘要!$F$7/SUM(总资产摘要!$B$7:$M$7)</f>
        <v>1.3177384770676178E-3</v>
      </c>
      <c r="G6">
        <f ca="1">总资产摘要!$F$8/SUM(总资产摘要!$B$8:$M$8)</f>
        <v>1.6078630357193937E-6</v>
      </c>
      <c r="H6">
        <f ca="1">总资产摘要!$F$8/SUM(总资产摘要!$B$8:$M$8)</f>
        <v>1.6078630357193937E-6</v>
      </c>
      <c r="I6">
        <f>总资产摘要!$F$9/SUM(总资产摘要!$B$9:$M$9)</f>
        <v>9.8922129260785356E-5</v>
      </c>
      <c r="J6">
        <f>总资产摘要!$F$9/SUM(总资产摘要!$B$9:$M$9)</f>
        <v>9.8922129260785356E-5</v>
      </c>
      <c r="K6">
        <f>总资产摘要!$F$10/SUM(总资产摘要!$B$10:$M$10)</f>
        <v>3.991822811452903E-3</v>
      </c>
      <c r="L6">
        <f>总资产摘要!$F$10/SUM(总资产摘要!$B$10:$M$10)</f>
        <v>3.991822811452903E-3</v>
      </c>
      <c r="M6">
        <f>总资产摘要!$F$11/SUM(总资产摘要!$B$11:$M$11)</f>
        <v>0.24453214425002098</v>
      </c>
      <c r="N6">
        <f>总资产摘要!$F$11/SUM(总资产摘要!$B$11:$M$11)</f>
        <v>0.24453214425002098</v>
      </c>
      <c r="O6">
        <f>总资产摘要!$F$12/SUM(总资产摘要!$B$12:$M$12)</f>
        <v>0.11378583812599781</v>
      </c>
      <c r="P6">
        <f>总资产摘要!$F$12/SUM(总资产摘要!$B$12:$M$12)</f>
        <v>0.11378583812599781</v>
      </c>
      <c r="Q6">
        <f>总资产摘要!$F$13/SUM(总资产摘要!$B$13:$M$13)</f>
        <v>8.0599563394993995E-2</v>
      </c>
      <c r="R6">
        <f>总资产摘要!$F$13/SUM(总资产摘要!$B$13:$M$13)</f>
        <v>8.0599563394993995E-2</v>
      </c>
      <c r="S6" t="e">
        <f>总资产摘要!#REF!/SUM(总资产摘要!#REF!)</f>
        <v>#REF!</v>
      </c>
      <c r="T6" t="e">
        <f>总资产摘要!#REF!/SUM(总资产摘要!#REF!)</f>
        <v>#REF!</v>
      </c>
    </row>
    <row r="7" spans="1:20">
      <c r="A7">
        <f>总资产摘要!$G$5/SUM(总资产摘要!$B$5:$M$5)</f>
        <v>0.14329616847020596</v>
      </c>
      <c r="B7">
        <f>总资产摘要!$G$5/SUM(总资产摘要!$B$5:$M$5)</f>
        <v>0.14329616847020596</v>
      </c>
      <c r="C7">
        <f>总资产摘要!$G$6/SUM(总资产摘要!$B$6:$M$6)</f>
        <v>5.4877671486952474E-2</v>
      </c>
      <c r="D7">
        <f>总资产摘要!$G$6/SUM(总资产摘要!$B$6:$M$6)</f>
        <v>5.4877671486952474E-2</v>
      </c>
      <c r="E7">
        <f>总资产摘要!$G$7/SUM(总资产摘要!$B$7:$M$7)</f>
        <v>0.26028483060279006</v>
      </c>
      <c r="F7">
        <f>总资产摘要!$G$7/SUM(总资产摘要!$B$7:$M$7)</f>
        <v>0.26028483060279006</v>
      </c>
      <c r="G7">
        <f ca="1">总资产摘要!$G$8/SUM(总资产摘要!$B$8:$M$8)</f>
        <v>0.99995855898336972</v>
      </c>
      <c r="H7">
        <f ca="1">总资产摘要!$G$8/SUM(总资产摘要!$B$8:$M$8)</f>
        <v>0.99995855898336972</v>
      </c>
      <c r="I7">
        <f>总资产摘要!$G$9/SUM(总资产摘要!$B$9:$M$9)</f>
        <v>2.9579618997614451E-2</v>
      </c>
      <c r="J7">
        <f>总资产摘要!$G$9/SUM(总资产摘要!$B$9:$M$9)</f>
        <v>2.9579618997614451E-2</v>
      </c>
      <c r="K7">
        <f>总资产摘要!$G$10/SUM(总资产摘要!$B$10:$M$10)</f>
        <v>0.51857004036176413</v>
      </c>
      <c r="L7">
        <f>总资产摘要!$G$10/SUM(总资产摘要!$B$10:$M$10)</f>
        <v>0.51857004036176413</v>
      </c>
      <c r="M7">
        <f>总资产摘要!$G$11/SUM(总资产摘要!$B$11:$M$11)</f>
        <v>3.6618354231019841E-2</v>
      </c>
      <c r="N7">
        <f>总资产摘要!$G$11/SUM(总资产摘要!$B$11:$M$11)</f>
        <v>3.6618354231019841E-2</v>
      </c>
      <c r="O7">
        <f>总资产摘要!$G$12/SUM(总资产摘要!$B$12:$M$12)</f>
        <v>1.9373458942116058E-2</v>
      </c>
      <c r="P7">
        <f>总资产摘要!$G$12/SUM(总资产摘要!$B$12:$M$12)</f>
        <v>1.9373458942116058E-2</v>
      </c>
      <c r="Q7">
        <f>总资产摘要!$G$13/SUM(总资产摘要!$B$13:$M$13)</f>
        <v>8.8313000445107037E-2</v>
      </c>
      <c r="R7">
        <f>总资产摘要!$G$13/SUM(总资产摘要!$B$13:$M$13)</f>
        <v>8.8313000445107037E-2</v>
      </c>
      <c r="S7" t="e">
        <f>总资产摘要!#REF!/SUM(总资产摘要!#REF!)</f>
        <v>#REF!</v>
      </c>
      <c r="T7" t="e">
        <f>总资产摘要!#REF!/SUM(总资产摘要!#REF!)</f>
        <v>#REF!</v>
      </c>
    </row>
    <row r="8" spans="1:20">
      <c r="A8">
        <f>总资产摘要!$H$5/SUM(总资产摘要!$B$5:$M$5)</f>
        <v>0.14336188347940851</v>
      </c>
      <c r="B8">
        <f>总资产摘要!$H$5/SUM(总资产摘要!$B$5:$M$5)</f>
        <v>0.14336188347940851</v>
      </c>
      <c r="C8">
        <f>总资产摘要!$H$6/SUM(总资产摘要!$B$6:$M$6)</f>
        <v>5.7983817214334182E-2</v>
      </c>
      <c r="D8">
        <f>总资产摘要!$H$6/SUM(总资产摘要!$B$6:$M$6)</f>
        <v>5.7983817214334182E-2</v>
      </c>
      <c r="E8">
        <f>总资产摘要!$H$7/SUM(总资产摘要!$B$7:$M$7)</f>
        <v>0.31387360859757785</v>
      </c>
      <c r="F8">
        <f>总资产摘要!$H$7/SUM(总资产摘要!$B$7:$M$7)</f>
        <v>0.31387360859757785</v>
      </c>
      <c r="G8">
        <f ca="1">总资产摘要!$H$8/SUM(总资产摘要!$B$8:$M$8)</f>
        <v>1.2499481987292123E-5</v>
      </c>
      <c r="H8">
        <f ca="1">总资产摘要!$H$8/SUM(总资产摘要!$B$8:$M$8)</f>
        <v>1.2499481987292123E-5</v>
      </c>
      <c r="I8">
        <f>总资产摘要!$H$9/SUM(总资产摘要!$B$9:$M$9)</f>
        <v>4.4267652844201446E-3</v>
      </c>
      <c r="J8">
        <f>总资产摘要!$H$9/SUM(总资产摘要!$B$9:$M$9)</f>
        <v>4.4267652844201446E-3</v>
      </c>
      <c r="K8">
        <f>总资产摘要!$H$10/SUM(总资产摘要!$B$10:$M$10)</f>
        <v>1.1814182664198994E-3</v>
      </c>
      <c r="L8">
        <f>总资产摘要!$H$10/SUM(总资产摘要!$B$10:$M$10)</f>
        <v>1.1814182664198994E-3</v>
      </c>
      <c r="M8">
        <f>总资产摘要!$H$11/SUM(总资产摘要!$B$11:$M$11)</f>
        <v>3.6485087121063707E-2</v>
      </c>
      <c r="N8">
        <f>总资产摘要!$H$11/SUM(总资产摘要!$B$11:$M$11)</f>
        <v>3.6485087121063707E-2</v>
      </c>
      <c r="O8">
        <f>总资产摘要!$H$12/SUM(总资产摘要!$B$12:$M$12)</f>
        <v>3.3300104740961851E-2</v>
      </c>
      <c r="P8">
        <f>总资产摘要!$H$12/SUM(总资产摘要!$B$12:$M$12)</f>
        <v>3.3300104740961851E-2</v>
      </c>
      <c r="Q8">
        <f>总资产摘要!$H$13/SUM(总资产摘要!$B$13:$M$13)</f>
        <v>8.8179473075048753E-2</v>
      </c>
      <c r="R8">
        <f>总资产摘要!$H$13/SUM(总资产摘要!$B$13:$M$13)</f>
        <v>8.8179473075048753E-2</v>
      </c>
      <c r="S8" t="e">
        <f>总资产摘要!#REF!/SUM(总资产摘要!#REF!)</f>
        <v>#REF!</v>
      </c>
      <c r="T8" t="e">
        <f>总资产摘要!#REF!/SUM(总资产摘要!#REF!)</f>
        <v>#REF!</v>
      </c>
    </row>
    <row r="9" spans="1:20">
      <c r="A9">
        <f>总资产摘要!$I$5/SUM(总资产摘要!$B$5:$M$5)</f>
        <v>0.14351663740097279</v>
      </c>
      <c r="B9">
        <f>总资产摘要!$I$5/SUM(总资产摘要!$B$5:$M$5)</f>
        <v>0.14351663740097279</v>
      </c>
      <c r="C9">
        <f>总资产摘要!$I$6/SUM(总资产摘要!$B$6:$M$6)</f>
        <v>6.0600015961296556E-2</v>
      </c>
      <c r="D9">
        <f>总资产摘要!$I$6/SUM(总资产摘要!$B$6:$M$6)</f>
        <v>6.0600015961296556E-2</v>
      </c>
      <c r="E9">
        <f>总资产摘要!$I$7/SUM(总资产摘要!$B$7:$M$7)</f>
        <v>0.25029191826885749</v>
      </c>
      <c r="F9">
        <f>总资产摘要!$I$7/SUM(总资产摘要!$B$7:$M$7)</f>
        <v>0.25029191826885749</v>
      </c>
      <c r="G9">
        <f ca="1">总资产摘要!$I$8/SUM(总资产摘要!$B$8:$M$8)</f>
        <v>1.6078630357193937E-6</v>
      </c>
      <c r="H9">
        <f ca="1">总资产摘要!$I$8/SUM(总资产摘要!$B$8:$M$8)</f>
        <v>1.6078630357193937E-6</v>
      </c>
      <c r="I9">
        <f>总资产摘要!$I$9/SUM(总资产摘要!$B$9:$M$9)</f>
        <v>1.8643016668378777E-4</v>
      </c>
      <c r="J9">
        <f>总资产摘要!$I$9/SUM(总资产摘要!$B$9:$M$9)</f>
        <v>1.8643016668378777E-4</v>
      </c>
      <c r="K9">
        <f>总资产摘要!$I$10/SUM(总资产摘要!$B$10:$M$10)</f>
        <v>2.3991258311257344E-3</v>
      </c>
      <c r="L9">
        <f>总资产摘要!$I$10/SUM(总资产摘要!$B$10:$M$10)</f>
        <v>2.3991258311257344E-3</v>
      </c>
      <c r="M9">
        <f>总资产摘要!$I$11/SUM(总资产摘要!$B$11:$M$11)</f>
        <v>3.6729171950755805E-2</v>
      </c>
      <c r="N9">
        <f>总资产摘要!$I$11/SUM(总资产摘要!$B$11:$M$11)</f>
        <v>3.6729171950755805E-2</v>
      </c>
      <c r="O9">
        <f>总资产摘要!$I$12/SUM(总资产摘要!$B$12:$M$12)</f>
        <v>3.4193438539171256E-2</v>
      </c>
      <c r="P9">
        <f>总资产摘要!$I$12/SUM(总资产摘要!$B$12:$M$12)</f>
        <v>3.4193438539171256E-2</v>
      </c>
      <c r="Q9">
        <f>总资产摘要!$I$13/SUM(总资产摘要!$B$13:$M$13)</f>
        <v>8.8433750915245579E-2</v>
      </c>
      <c r="R9">
        <f>总资产摘要!$I$13/SUM(总资产摘要!$B$13:$M$13)</f>
        <v>8.8433750915245579E-2</v>
      </c>
      <c r="S9" t="e">
        <f>总资产摘要!#REF!/SUM(总资产摘要!#REF!)</f>
        <v>#REF!</v>
      </c>
      <c r="T9" t="e">
        <f>总资产摘要!#REF!/SUM(总资产摘要!#REF!)</f>
        <v>#REF!</v>
      </c>
    </row>
    <row r="10" spans="1:20">
      <c r="A10">
        <f>总资产摘要!$J$5/SUM(总资产摘要!$B$5:$M$5)</f>
        <v>0.13652338894976088</v>
      </c>
      <c r="B10">
        <f>总资产摘要!$J$5/SUM(总资产摘要!$B$5:$M$5)</f>
        <v>0.13652338894976088</v>
      </c>
      <c r="C10">
        <f>总资产摘要!$J$6/SUM(总资产摘要!$B$6:$M$6)</f>
        <v>6.1696693265536312E-2</v>
      </c>
      <c r="D10">
        <f>总资产摘要!$J$6/SUM(总资产摘要!$B$6:$M$6)</f>
        <v>6.1696693265536312E-2</v>
      </c>
      <c r="E10">
        <f>总资产摘要!$J$7/SUM(总资产摘要!$B$7:$M$7)</f>
        <v>7.3305579944294135E-3</v>
      </c>
      <c r="F10">
        <f>总资产摘要!$J$7/SUM(总资产摘要!$B$7:$M$7)</f>
        <v>7.3305579944294135E-3</v>
      </c>
      <c r="G10">
        <f ca="1">总资产摘要!$J$8/SUM(总资产摘要!$B$8:$M$8)</f>
        <v>1.6078630357193937E-5</v>
      </c>
      <c r="H10">
        <f ca="1">总资产摘要!$J$8/SUM(总资产摘要!$B$8:$M$8)</f>
        <v>1.6078630357193937E-5</v>
      </c>
      <c r="I10">
        <f>总资产摘要!$J$9/SUM(总资产摘要!$B$9:$M$9)</f>
        <v>9.1312734702263392E-5</v>
      </c>
      <c r="J10">
        <f>总资产摘要!$J$9/SUM(总资产摘要!$B$9:$M$9)</f>
        <v>9.1312734702263392E-5</v>
      </c>
      <c r="K10">
        <f>总资产摘要!$J$10/SUM(总资产摘要!$B$10:$M$10)</f>
        <v>8.0642885079856624E-4</v>
      </c>
      <c r="L10">
        <f>总资产摘要!$J$10/SUM(总资产摘要!$B$10:$M$10)</f>
        <v>8.0642885079856624E-4</v>
      </c>
      <c r="M10">
        <f>总资产摘要!$J$11/SUM(总资产摘要!$B$11:$M$11)</f>
        <v>3.6430654321640089E-2</v>
      </c>
      <c r="N10">
        <f>总资产摘要!$J$11/SUM(总资产摘要!$B$11:$M$11)</f>
        <v>3.6430654321640089E-2</v>
      </c>
      <c r="O10">
        <f>总资产摘要!$J$12/SUM(总资产摘要!$B$12:$M$12)</f>
        <v>5.2210103250207508E-2</v>
      </c>
      <c r="P10">
        <f>总资产摘要!$J$12/SUM(总资产摘要!$B$12:$M$12)</f>
        <v>5.2210103250207508E-2</v>
      </c>
      <c r="Q10">
        <f>总资产摘要!$J$13/SUM(总资产摘要!$B$13:$M$13)</f>
        <v>8.6814946463050671E-2</v>
      </c>
      <c r="R10">
        <f>总资产摘要!$J$13/SUM(总资产摘要!$B$13:$M$13)</f>
        <v>8.6814946463050671E-2</v>
      </c>
      <c r="S10" t="e">
        <f>总资产摘要!#REF!/SUM(总资产摘要!#REF!)</f>
        <v>#REF!</v>
      </c>
      <c r="T10" t="e">
        <f>总资产摘要!#REF!/SUM(总资产摘要!#REF!)</f>
        <v>#REF!</v>
      </c>
    </row>
    <row r="11" spans="1:20">
      <c r="A11">
        <f>总资产摘要!$K$5/SUM(总资产摘要!$B$5:$M$5)</f>
        <v>0.12994625933492612</v>
      </c>
      <c r="B11">
        <f>总资产摘要!$K$5/SUM(总资产摘要!$B$5:$M$5)</f>
        <v>0.12994625933492612</v>
      </c>
      <c r="C11">
        <f>总资产摘要!$K$6/SUM(总资产摘要!$B$6:$M$6)</f>
        <v>6.018496715749299E-2</v>
      </c>
      <c r="D11">
        <f>总资产摘要!$K$6/SUM(总资产摘要!$B$6:$M$6)</f>
        <v>6.018496715749299E-2</v>
      </c>
      <c r="E11">
        <f>总资产摘要!$K$7/SUM(总资产摘要!$B$7:$M$7)</f>
        <v>1.7072117002235802E-4</v>
      </c>
      <c r="F11">
        <f>总资产摘要!$K$7/SUM(总资产摘要!$B$7:$M$7)</f>
        <v>1.7072117002235802E-4</v>
      </c>
      <c r="G11">
        <f ca="1">总资产摘要!$K$8/SUM(总资产摘要!$B$8:$M$8)</f>
        <v>0</v>
      </c>
      <c r="H11">
        <f ca="1">总资产摘要!$K$8/SUM(总资产摘要!$B$8:$M$8)</f>
        <v>0</v>
      </c>
      <c r="I11">
        <f>总资产摘要!$K$9/SUM(总资产摘要!$B$9:$M$9)</f>
        <v>1.0938504677875303E-4</v>
      </c>
      <c r="J11">
        <f>总资产摘要!$K$9/SUM(总资产摘要!$B$9:$M$9)</f>
        <v>1.0938504677875303E-4</v>
      </c>
      <c r="K11">
        <f>总资产摘要!$K$10/SUM(总资产摘要!$B$10:$M$10)</f>
        <v>6.4889297479506627E-2</v>
      </c>
      <c r="L11">
        <f>总资产摘要!$K$10/SUM(总资产摘要!$B$10:$M$10)</f>
        <v>6.4889297479506627E-2</v>
      </c>
      <c r="M11">
        <f>总资产摘要!$K$11/SUM(总资产摘要!$B$11:$M$11)</f>
        <v>3.797066854702387E-2</v>
      </c>
      <c r="N11">
        <f>总资产摘要!$K$11/SUM(总资产摘要!$B$11:$M$11)</f>
        <v>3.797066854702387E-2</v>
      </c>
      <c r="O11">
        <f>总资产摘要!$K$12/SUM(总资产摘要!$B$12:$M$12)</f>
        <v>9.9097489694352892E-2</v>
      </c>
      <c r="P11">
        <f>总资产摘要!$K$12/SUM(总资产摘要!$B$12:$M$12)</f>
        <v>9.9097489694352892E-2</v>
      </c>
      <c r="Q11">
        <f>总资产摘要!$K$13/SUM(总资产摘要!$B$13:$M$13)</f>
        <v>8.5151396224433712E-2</v>
      </c>
      <c r="R11">
        <f>总资产摘要!$K$13/SUM(总资产摘要!$B$13:$M$13)</f>
        <v>8.5151396224433712E-2</v>
      </c>
      <c r="S11" t="e">
        <f>总资产摘要!#REF!/SUM(总资产摘要!#REF!)</f>
        <v>#REF!</v>
      </c>
      <c r="T11" t="e">
        <f>总资产摘要!#REF!/SUM(总资产摘要!#REF!)</f>
        <v>#REF!</v>
      </c>
    </row>
    <row r="12" spans="1:20">
      <c r="A12">
        <f>总资产摘要!$L$5/SUM(总资产摘要!$B$5:$M$5)</f>
        <v>0.1225689756064338</v>
      </c>
      <c r="B12">
        <f>总资产摘要!$L$5/SUM(总资产摘要!$B$5:$M$5)</f>
        <v>0.1225689756064338</v>
      </c>
      <c r="C12">
        <f>总资产摘要!$L$6/SUM(总资产摘要!$B$6:$M$6)</f>
        <v>6.2116203190195819E-2</v>
      </c>
      <c r="D12">
        <f>总资产摘要!$L$6/SUM(总资产摘要!$B$6:$M$6)</f>
        <v>6.2116203190195819E-2</v>
      </c>
      <c r="E12">
        <f>总资产摘要!$L$7/SUM(总资产摘要!$B$7:$M$7)</f>
        <v>7.9636697386522694E-6</v>
      </c>
      <c r="F12">
        <f>总资产摘要!$L$7/SUM(总资产摘要!$B$7:$M$7)</f>
        <v>7.9636697386522694E-6</v>
      </c>
      <c r="G12">
        <f ca="1">总资产摘要!$L$8/SUM(总资产摘要!$B$8:$M$8)</f>
        <v>1.6078630357193937E-6</v>
      </c>
      <c r="H12">
        <f ca="1">总资产摘要!$L$8/SUM(总资产摘要!$B$8:$M$8)</f>
        <v>1.6078630357193937E-6</v>
      </c>
      <c r="I12">
        <f>总资产摘要!$L$9/SUM(总资产摘要!$B$9:$M$9)</f>
        <v>1.4267614797228655E-5</v>
      </c>
      <c r="J12">
        <f>总资产摘要!$L$9/SUM(总资产摘要!$B$9:$M$9)</f>
        <v>1.4267614797228655E-5</v>
      </c>
      <c r="K12">
        <f>总资产摘要!$L$10/SUM(总资产摘要!$B$10:$M$10)</f>
        <v>3.6289298285935485E-4</v>
      </c>
      <c r="L12">
        <f>总资产摘要!$L$10/SUM(总资产摘要!$B$10:$M$10)</f>
        <v>3.6289298285935485E-4</v>
      </c>
      <c r="M12">
        <f>总资产摘要!$L$11/SUM(总资产摘要!$B$11:$M$11)</f>
        <v>3.9189001137389295E-2</v>
      </c>
      <c r="N12">
        <f>总资产摘要!$L$11/SUM(总资产摘要!$B$11:$M$11)</f>
        <v>3.9189001137389295E-2</v>
      </c>
      <c r="O12">
        <f>总资产摘要!$L$12/SUM(总资产摘要!$B$12:$M$12)</f>
        <v>0.10593431881123061</v>
      </c>
      <c r="P12">
        <f>总资产摘要!$L$12/SUM(总资产摘要!$B$12:$M$12)</f>
        <v>0.10593431881123061</v>
      </c>
      <c r="Q12">
        <f>总资产摘要!$L$13/SUM(总资产摘要!$B$13:$M$13)</f>
        <v>8.6789038152910905E-2</v>
      </c>
      <c r="R12">
        <f>总资产摘要!$L$13/SUM(总资产摘要!$B$13:$M$13)</f>
        <v>8.6789038152910905E-2</v>
      </c>
      <c r="S12" t="e">
        <f>总资产摘要!#REF!/SUM(总资产摘要!#REF!)</f>
        <v>#REF!</v>
      </c>
      <c r="T12" t="e">
        <f>总资产摘要!#REF!/SUM(总资产摘要!#REF!)</f>
        <v>#REF!</v>
      </c>
    </row>
    <row r="13" spans="1:20">
      <c r="A13">
        <f>总资产摘要!$M$5/SUM(总资产摘要!$B$5:$M$5)</f>
        <v>9.9707065144470655E-2</v>
      </c>
      <c r="B13">
        <f>总资产摘要!$M$5/SUM(总资产摘要!$B$5:$M$5)</f>
        <v>9.9707065144470655E-2</v>
      </c>
      <c r="C13">
        <f>总资产摘要!$M$6/SUM(总资产摘要!$B$6:$M$6)</f>
        <v>6.711201460196764E-2</v>
      </c>
      <c r="D13">
        <f>总资产摘要!$M$6/SUM(总资产摘要!$B$6:$M$6)</f>
        <v>6.711201460196764E-2</v>
      </c>
      <c r="E13">
        <f>总资产摘要!$M$7/SUM(总资产摘要!$B$7:$M$7)</f>
        <v>1.1651346557006935E-2</v>
      </c>
      <c r="F13">
        <f>总资产摘要!$M$7/SUM(总资产摘要!$B$7:$M$7)</f>
        <v>1.1651346557006935E-2</v>
      </c>
      <c r="G13">
        <f ca="1">总资产摘要!$M$8/SUM(总资产摘要!$B$8:$M$8)</f>
        <v>1.6078630357193937E-6</v>
      </c>
      <c r="H13">
        <f ca="1">总资产摘要!$M$8/SUM(总资产摘要!$B$8:$M$8)</f>
        <v>1.6078630357193937E-6</v>
      </c>
      <c r="I13">
        <f>总资产摘要!$M$9/SUM(总资产摘要!$B$9:$M$9)</f>
        <v>6.0399569308267976E-3</v>
      </c>
      <c r="J13">
        <f>总资产摘要!$M$9/SUM(总资产摘要!$B$9:$M$9)</f>
        <v>6.0399569308267976E-3</v>
      </c>
      <c r="K13">
        <f>总资产摘要!$M$10/SUM(总资产摘要!$B$10:$M$10)</f>
        <v>4.2740729092324012E-4</v>
      </c>
      <c r="L13">
        <f>总资产摘要!$M$10/SUM(总资产摘要!$B$10:$M$10)</f>
        <v>4.2740729092324012E-4</v>
      </c>
      <c r="M13">
        <f>总资产摘要!$M$11/SUM(总资产摘要!$B$11:$M$11)</f>
        <v>4.6043385607877199E-2</v>
      </c>
      <c r="N13">
        <f>总资产摘要!$M$11/SUM(总资产摘要!$B$11:$M$11)</f>
        <v>4.6043385607877199E-2</v>
      </c>
      <c r="O13">
        <f>总资产摘要!$M$12/SUM(总资产摘要!$B$12:$M$12)</f>
        <v>0.10304546567852646</v>
      </c>
      <c r="P13">
        <f>总资产摘要!$M$12/SUM(总资产摘要!$B$12:$M$12)</f>
        <v>0.10304546567852646</v>
      </c>
      <c r="Q13">
        <f>总资产摘要!$M$13/SUM(总资产摘要!$B$13:$M$13)</f>
        <v>8.3729532898710338E-2</v>
      </c>
      <c r="R13">
        <f>总资产摘要!$M$13/SUM(总资产摘要!$B$13:$M$13)</f>
        <v>8.3729532898710338E-2</v>
      </c>
      <c r="S13" t="e">
        <f>总资产摘要!#REF!/SUM(总资产摘要!#REF!)</f>
        <v>#REF!</v>
      </c>
      <c r="T13" t="e">
        <f>总资产摘要!#REF!/SUM(总资产摘要!#REF!)</f>
        <v>#REF!</v>
      </c>
    </row>
    <row r="14" spans="1:20">
      <c r="A14">
        <f ca="1">Kutools_Chart!$C$1/2</f>
        <v>6.2645001569456458</v>
      </c>
      <c r="B14">
        <f ca="1">(Kutools_Chart!$D$1-Kutools_Chart!$C$1)/2+Kutools_Chart!$C$1</f>
        <v>43.330126401934038</v>
      </c>
      <c r="C14">
        <f ca="1">(Kutools_Chart!$F$1-Kutools_Chart!$E$1)/2+Kutools_Chart!$E$1</f>
        <v>74.574025221981316</v>
      </c>
      <c r="D14">
        <f ca="1">(Kutools_Chart!$H$1-Kutools_Chart!$G$1)/2+Kutools_Chart!$G$1</f>
        <v>75.079621480353524</v>
      </c>
      <c r="E14">
        <f ca="1">(Kutools_Chart!$J$1-Kutools_Chart!$I$1)/2+Kutools_Chart!$I$1</f>
        <v>75.258291799125217</v>
      </c>
      <c r="F14">
        <f ca="1">(Kutools_Chart!$L$1-Kutools_Chart!$K$1)/2+Kutools_Chart!$K$1</f>
        <v>75.40146660536665</v>
      </c>
      <c r="G14">
        <f ca="1">(Kutools_Chart!$N$1-Kutools_Chart!$M$1)/2+Kutools_Chart!$M$1</f>
        <v>81.75080848409516</v>
      </c>
      <c r="H14">
        <f ca="1">(Kutools_Chart!$P$1-Kutools_Chart!$O$1)/2+Kutools_Chart!$O$1</f>
        <v>92.898793430709262</v>
      </c>
      <c r="I14">
        <f ca="1">(Kutools_Chart!$R$1-Kutools_Chart!$Q$1)/2+Kutools_Chart!$Q$1</f>
        <v>98.862382256216108</v>
      </c>
      <c r="J14">
        <f ca="1">(Kutools_Chart!$T$1-Kutools_Chart!$S$1)/2+Kutools_Chart!$S$1</f>
        <v>99.999999999999972</v>
      </c>
    </row>
    <row r="15" spans="1:20">
      <c r="A15" s="37">
        <f ca="1">Kutools_Chart!$C$1/100</f>
        <v>0.12529000313891292</v>
      </c>
      <c r="B15" s="37">
        <f ca="1">(Kutools_Chart!$D$1-Kutools_Chart!$C$1)/100</f>
        <v>0.61602252176085504</v>
      </c>
      <c r="C15" s="37">
        <f ca="1">(Kutools_Chart!$F$1-Kutools_Chart!$E$1)/100</f>
        <v>8.8554546400905557E-3</v>
      </c>
      <c r="D15" s="37">
        <f ca="1">(Kutools_Chart!$H$1-Kutools_Chart!$G$1)/100</f>
        <v>1.2564705273537414E-3</v>
      </c>
      <c r="E15" s="37">
        <f ca="1">(Kutools_Chart!$J$1-Kutools_Chart!$I$1)/100</f>
        <v>2.316935848079993E-3</v>
      </c>
      <c r="F15" s="37">
        <f ca="1">(Kutools_Chart!$L$1-Kutools_Chart!$K$1)/100</f>
        <v>5.4656027674866432E-4</v>
      </c>
      <c r="G15" s="37">
        <f ca="1">(Kutools_Chart!$N$1-Kutools_Chart!$M$1)/100</f>
        <v>0.12644027729782154</v>
      </c>
      <c r="H15" s="37">
        <f ca="1">(Kutools_Chart!$P$1-Kutools_Chart!$O$1)/100</f>
        <v>9.651942163446052E-2</v>
      </c>
      <c r="I15" s="37">
        <f ca="1">(Kutools_Chart!$R$1-Kutools_Chart!$Q$1)/100</f>
        <v>2.2752354875676416E-2</v>
      </c>
      <c r="J15" s="37">
        <f ca="1">(Kutools_Chart!$T$1-Kutools_Chart!$S$1)/100</f>
        <v>7.1054273576010023E-16</v>
      </c>
    </row>
    <row r="16" spans="1:20">
      <c r="A16">
        <f>总资产摘要!$B$5/SUM(总资产摘要!$B$5:$M$5)/2</f>
        <v>4.0539793217240098E-2</v>
      </c>
      <c r="B16">
        <f>总资产摘要!$C$5/SUM(总资产摘要!$B$5:$M$5)/2+总资产摘要!$B$5/SUM(总资产摘要!$B$5:$M$5)</f>
        <v>8.1079595229315474E-2</v>
      </c>
      <c r="C16">
        <f>总资产摘要!$D$5/SUM(总资产摘要!$B$5:$M$5)/2+SUM(总资产摘要!$B$5:$C$5)/SUM(总资产摘要!$B$5:$M$5)</f>
        <v>8.1079612818986041E-2</v>
      </c>
      <c r="D16">
        <f>总资产摘要!$E$5/SUM(总资产摘要!$B$5:$M$5)/2+SUM(总资产摘要!$B$5:$D$5)/SUM(总资产摘要!$B$5:$M$5)</f>
        <v>8.1079621613821332E-2</v>
      </c>
      <c r="E16">
        <f>总资产摘要!$F$5/SUM(总资产摘要!$B$5:$M$5)/2+SUM(总资产摘要!$B$5:$E$5)/SUM(总资产摘要!$B$5:$M$5)</f>
        <v>8.1079621613821332E-2</v>
      </c>
      <c r="F16">
        <f>总资产摘要!$G$5/SUM(总资产摘要!$B$5:$M$5)/2+SUM(总资产摘要!$B$5:$F$5)/SUM(总资产摘要!$B$5:$M$5)</f>
        <v>0.15272770584892431</v>
      </c>
      <c r="G16">
        <f>总资产摘要!$H$5/SUM(总资产摘要!$B$5:$M$5)/2+SUM(总资产摘要!$B$5:$G$5)/SUM(总资产摘要!$B$5:$M$5)</f>
        <v>0.29605673182373154</v>
      </c>
      <c r="H16">
        <f>总资产摘要!$I$5/SUM(总资产摘要!$B$5:$M$5)/2+SUM(总资产摘要!$B$5:$H$5)/SUM(总资产摘要!$B$5:$M$5)</f>
        <v>0.43949599226392216</v>
      </c>
      <c r="I16">
        <f>总资产摘要!$J$5/SUM(总资产摘要!$B$5:$M$5)/2+SUM(总资产摘要!$B$5:$I$5)/SUM(总资产摘要!$B$5:$M$5)</f>
        <v>0.57951600543928894</v>
      </c>
      <c r="J16">
        <f>总资产摘要!$K$5/SUM(总资产摘要!$B$5:$M$5)/2+SUM(总资产摘要!$B$5:$J$5)/SUM(总资产摘要!$B$5:$M$5)</f>
        <v>0.71275082958163261</v>
      </c>
      <c r="K16">
        <f>总资产摘要!$L$5/SUM(总资产摘要!$B$5:$M$5)/2+SUM(总资产摘要!$B$5:$K$5)/SUM(总资产摘要!$B$5:$M$5)</f>
        <v>0.83900844705231259</v>
      </c>
      <c r="L16">
        <f>总资产摘要!$M$5/SUM(总资产摘要!$B$5:$M$5)/2+SUM(总资产摘要!$B$5:$L$5)/SUM(总资产摘要!$B$5:$M$5)</f>
        <v>0.95014646742776476</v>
      </c>
    </row>
    <row r="17" spans="1:12">
      <c r="A17">
        <f>总资产摘要!$B$6/SUM(总资产摘要!$B$6:$M$6)/2</f>
        <v>3.4511216631585157E-2</v>
      </c>
      <c r="B17">
        <f>总资产摘要!$C$6/SUM(总资产摘要!$B$6:$M$6)/2+总资产摘要!$B$6/SUM(总资产摘要!$B$6:$M$6)</f>
        <v>0.11556325188936517</v>
      </c>
      <c r="C17">
        <f>总资产摘要!$D$6/SUM(总资产摘要!$B$6:$M$6)/2+SUM(总资产摘要!$B$6:$C$6)/SUM(总资产摘要!$B$6:$M$6)</f>
        <v>0.23885446551615114</v>
      </c>
      <c r="D17">
        <f>总资产摘要!$E$6/SUM(总资产摘要!$B$6:$M$6)/2+SUM(总资产摘要!$B$6:$D$6)/SUM(总资产摘要!$B$6:$M$6)</f>
        <v>0.37886745549872747</v>
      </c>
      <c r="E17">
        <f>总资产摘要!$F$6/SUM(总资产摘要!$B$6:$M$6)/2+SUM(总资产摘要!$B$6:$E$6)/SUM(总资产摘要!$B$6:$M$6)</f>
        <v>0.50877933380146834</v>
      </c>
      <c r="F17">
        <f>总资产摘要!$G$6/SUM(总资产摘要!$B$6:$M$6)/2+SUM(总资产摘要!$B$6:$F$6)/SUM(总资产摘要!$B$6:$M$6)</f>
        <v>0.60286745286570032</v>
      </c>
      <c r="G17">
        <f>总资产摘要!$H$6/SUM(总资产摘要!$B$6:$M$6)/2+SUM(总资产摘要!$B$6:$G$6)/SUM(总资产摘要!$B$6:$M$6)</f>
        <v>0.65929819721634353</v>
      </c>
      <c r="H17">
        <f>总资产摘要!$I$6/SUM(总资产摘要!$B$6:$M$6)/2+SUM(总资产摘要!$B$6:$H$6)/SUM(总资产摘要!$B$6:$M$6)</f>
        <v>0.71859011380415883</v>
      </c>
      <c r="I17">
        <f>总资产摘要!$J$6/SUM(总资产摘要!$B$6:$M$6)/2+SUM(总资产摘要!$B$6:$I$6)/SUM(总资产摘要!$B$6:$M$6)</f>
        <v>0.77973846841757533</v>
      </c>
      <c r="J17">
        <f>总资产摘要!$K$6/SUM(总资产摘要!$B$6:$M$6)/2+SUM(总资产摘要!$B$6:$J$6)/SUM(总资产摘要!$B$6:$M$6)</f>
        <v>0.84067929862908997</v>
      </c>
      <c r="K17">
        <f>总资产摘要!$L$6/SUM(总资产摘要!$B$6:$M$6)/2+SUM(总资产摘要!$B$6:$K$6)/SUM(总资产摘要!$B$6:$M$6)</f>
        <v>0.90182988380293438</v>
      </c>
      <c r="L17">
        <f>总资产摘要!$M$6/SUM(总资产摘要!$B$6:$M$6)/2+SUM(总资产摘要!$B$6:$L$6)/SUM(总资产摘要!$B$6:$M$6)</f>
        <v>0.96644399269901615</v>
      </c>
    </row>
    <row r="18" spans="1:12">
      <c r="A18">
        <f>总资产摘要!$B$7/SUM(总资产摘要!$B$7:$M$7)/2</f>
        <v>2.6371816771886655E-2</v>
      </c>
      <c r="B18">
        <f>总资产摘要!$C$7/SUM(总资产摘要!$B$7:$M$7)/2+总资产摘要!$B$7/SUM(总资产摘要!$B$7:$M$7)</f>
        <v>7.8685412149772746E-2</v>
      </c>
      <c r="C18">
        <f>总资产摘要!$D$7/SUM(总资产摘要!$B$7:$M$7)/2+SUM(总资产摘要!$B$7:$C$7)/SUM(总资产摘要!$B$7:$M$7)</f>
        <v>0.12918876585019146</v>
      </c>
      <c r="D18">
        <f>总资产摘要!$E$7/SUM(总资产摘要!$B$7:$M$7)/2+SUM(总资产摘要!$B$7:$D$7)/SUM(总资产摘要!$B$7:$M$7)</f>
        <v>0.15441082780356019</v>
      </c>
      <c r="E18">
        <f>总资产摘要!$F$7/SUM(总资产摘要!$B$7:$M$7)/2+SUM(总资产摘要!$B$7:$E$7)/SUM(总资产摘要!$B$7:$M$7)</f>
        <v>0.15573018390104348</v>
      </c>
      <c r="F18">
        <f>总资产摘要!$G$7/SUM(总资产摘要!$B$7:$M$7)/2+SUM(总资产摘要!$B$7:$F$7)/SUM(总资产摘要!$B$7:$M$7)</f>
        <v>0.28653146844097233</v>
      </c>
      <c r="G18">
        <f>总资产摘要!$H$7/SUM(总资产摘要!$B$7:$M$7)/2+SUM(总资产摘要!$B$7:$G$7)/SUM(总资产摘要!$B$7:$M$7)</f>
        <v>0.57361068804115622</v>
      </c>
      <c r="H18">
        <f>总资产摘要!$I$7/SUM(总资产摘要!$B$7:$M$7)/2+SUM(总资产摘要!$B$7:$H$7)/SUM(总资产摘要!$B$7:$M$7)</f>
        <v>0.85569345147437392</v>
      </c>
      <c r="I18">
        <f>总资产摘要!$J$7/SUM(总资产摘要!$B$7:$M$7)/2+SUM(总资产摘要!$B$7:$I$7)/SUM(总资产摘要!$B$7:$M$7)</f>
        <v>0.98450468960601734</v>
      </c>
      <c r="J18">
        <f>总资产摘要!$K$7/SUM(总资产摘要!$B$7:$M$7)/2+SUM(总资产摘要!$B$7:$J$7)/SUM(总资产摘要!$B$7:$M$7)</f>
        <v>0.98825532918824321</v>
      </c>
      <c r="K18">
        <f>总资产摘要!$L$7/SUM(总资产摘要!$B$7:$M$7)/2+SUM(总资产摘要!$B$7:$K$7)/SUM(总资产摘要!$B$7:$M$7)</f>
        <v>0.98834467160812367</v>
      </c>
      <c r="L18">
        <f>总资产摘要!$M$7/SUM(总资产摘要!$B$7:$M$7)/2+SUM(总资产摘要!$B$7:$L$7)/SUM(总资产摘要!$B$7:$M$7)</f>
        <v>0.99417432672149653</v>
      </c>
    </row>
    <row r="19" spans="1:12">
      <c r="A19">
        <f ca="1">总资产摘要!$B$8/SUM(总资产摘要!$B$8:$M$8)/2</f>
        <v>8.0393151785969685E-7</v>
      </c>
      <c r="B19">
        <f ca="1">总资产摘要!$C$8/SUM(总资产摘要!$B$8:$M$8)/2+总资产摘要!$B$8/SUM(总资产摘要!$B$8:$M$8)</f>
        <v>2.4117945535790906E-6</v>
      </c>
      <c r="C19">
        <f ca="1">总资产摘要!$D$8/SUM(总资产摘要!$B$8:$M$8)/2+SUM(总资产摘要!$B$8:$C$8)/SUM(总资产摘要!$B$8:$M$8)</f>
        <v>4.0196575892984843E-6</v>
      </c>
      <c r="D19">
        <f ca="1">总资产摘要!$E$8/SUM(总资产摘要!$B$8:$M$8)/2+SUM(总资产摘要!$B$8:$D$8)/SUM(总资产摘要!$B$8:$M$8)</f>
        <v>5.627520625017878E-6</v>
      </c>
      <c r="E19">
        <f ca="1">总资产摘要!$F$8/SUM(总资产摘要!$B$8:$M$8)/2+SUM(总资产摘要!$B$8:$E$8)/SUM(总资产摘要!$B$8:$M$8)</f>
        <v>7.2353836607372717E-6</v>
      </c>
      <c r="F19">
        <f ca="1">总资产摘要!$G$8/SUM(总资产摘要!$B$8:$M$8)/2+SUM(总资产摘要!$B$8:$F$8)/SUM(总资产摘要!$B$8:$M$8)</f>
        <v>0.49998731880686348</v>
      </c>
      <c r="G19">
        <f ca="1">总资产摘要!$H$8/SUM(总资产摘要!$B$8:$M$8)/2+SUM(总资产摘要!$B$8:$G$8)/SUM(总资产摘要!$B$8:$M$8)</f>
        <v>0.9999728480395419</v>
      </c>
      <c r="H19">
        <f ca="1">总资产摘要!$I$8/SUM(总资产摘要!$B$8:$M$8)/2+SUM(总资产摘要!$B$8:$H$8)/SUM(总资产摘要!$B$8:$M$8)</f>
        <v>0.99997990171205353</v>
      </c>
      <c r="I19">
        <f ca="1">总资产摘要!$J$8/SUM(总资产摘要!$B$8:$M$8)/2+SUM(总资产摘要!$B$8:$I$8)/SUM(总资产摘要!$B$8:$M$8)</f>
        <v>0.9999887449587499</v>
      </c>
      <c r="J19">
        <f ca="1">总资产摘要!$K$8/SUM(总资产摘要!$B$8:$M$8)/2+SUM(总资产摘要!$B$8:$J$8)/SUM(总资产摘要!$B$8:$M$8)</f>
        <v>0.99999678427392846</v>
      </c>
      <c r="K19">
        <f ca="1">总资产摘要!$L$8/SUM(总资产摘要!$B$8:$M$8)/2+SUM(总资产摘要!$B$8:$K$8)/SUM(总资产摘要!$B$8:$M$8)</f>
        <v>0.99999758820544637</v>
      </c>
      <c r="L19">
        <f ca="1">总资产摘要!$M$8/SUM(总资产摘要!$B$8:$M$8)/2+SUM(总资产摘要!$B$8:$L$8)/SUM(总资产摘要!$B$8:$M$8)</f>
        <v>0.9999991960684822</v>
      </c>
    </row>
    <row r="20" spans="1:12">
      <c r="A20">
        <f>总资产摘要!$B$9/SUM(总资产摘要!$B$9:$M$9)/2</f>
        <v>9.5117431981524381E-6</v>
      </c>
      <c r="B20">
        <f>总资产摘要!$C$9/SUM(总资产摘要!$B$9:$M$9)/2+总资产摘要!$B$9/SUM(总资产摘要!$B$9:$M$9)</f>
        <v>0.47973332876769659</v>
      </c>
      <c r="C20">
        <f>总资产摘要!$D$9/SUM(总资产摘要!$B$9:$M$9)/2+SUM(总资产摘要!$B$9:$C$9)/SUM(总资产摘要!$B$9:$M$9)</f>
        <v>0.95944858522331677</v>
      </c>
      <c r="D20">
        <f>总资产摘要!$E$9/SUM(总资产摘要!$B$9:$M$9)/2+SUM(总资产摘要!$B$9:$D$9)/SUM(总资产摘要!$B$9:$M$9)</f>
        <v>0.95945143874627614</v>
      </c>
      <c r="E20">
        <f>总资产摘要!$F$9/SUM(总资产摘要!$B$9:$M$9)/2+SUM(总资产摘要!$B$9:$E$9)/SUM(总资产摘要!$B$9:$M$9)</f>
        <v>0.95950280215954631</v>
      </c>
      <c r="F20">
        <f>总资产摘要!$G$9/SUM(总资产摘要!$B$9:$M$9)/2+SUM(总资产摘要!$B$9:$F$9)/SUM(总资产摘要!$B$9:$M$9)</f>
        <v>0.97434207272298401</v>
      </c>
      <c r="G20">
        <f>总资产摘要!$H$9/SUM(总资产摘要!$B$9:$M$9)/2+SUM(总资产摘要!$B$9:$G$9)/SUM(总资产摘要!$B$9:$M$9)</f>
        <v>0.99134526486400121</v>
      </c>
      <c r="H20">
        <f>总资产摘要!$I$9/SUM(总资产摘要!$B$9:$M$9)/2+SUM(总资产摘要!$B$9:$H$9)/SUM(总资产摘要!$B$9:$M$9)</f>
        <v>0.99365186258955329</v>
      </c>
      <c r="I20">
        <f>总资产摘要!$J$9/SUM(总资产摘要!$B$9:$M$9)/2+SUM(总资产摘要!$B$9:$I$9)/SUM(总资产摘要!$B$9:$M$9)</f>
        <v>0.9937907340402462</v>
      </c>
      <c r="J20">
        <f>总资产摘要!$K$9/SUM(总资产摘要!$B$9:$M$9)/2+SUM(总资产摘要!$B$9:$J$9)/SUM(总资产摘要!$B$9:$M$9)</f>
        <v>0.99389108293098671</v>
      </c>
      <c r="K20">
        <f>总资产摘要!$L$9/SUM(总资产摘要!$B$9:$M$9)/2+SUM(总资产摘要!$B$9:$K$9)/SUM(总资产摘要!$B$9:$M$9)</f>
        <v>0.9939529092617746</v>
      </c>
      <c r="L20">
        <f>总资产摘要!$M$9/SUM(总资产摘要!$B$9:$M$9)/2+SUM(总资产摘要!$B$9:$L$9)/SUM(总资产摘要!$B$9:$M$9)</f>
        <v>0.99698002153458654</v>
      </c>
    </row>
    <row r="21" spans="1:12">
      <c r="A21">
        <f>总资产摘要!$B$10/SUM(总资产摘要!$B$10:$M$10)/2</f>
        <v>2.7188748704673665E-2</v>
      </c>
      <c r="B21">
        <f>总资产摘要!$C$10/SUM(总资产摘要!$B$10:$M$10)/2+总资产摘要!$B$10/SUM(总资产摘要!$B$10:$M$10)</f>
        <v>0.22901168112190387</v>
      </c>
      <c r="C21">
        <f>总资产摘要!$D$10/SUM(总资产摘要!$B$10:$M$10)/2+SUM(总资产摘要!$B$10:$C$10)/SUM(总资产摘要!$B$10:$M$10)</f>
        <v>0.40512566177567577</v>
      </c>
      <c r="D21">
        <f>总资产摘要!$E$10/SUM(总资产摘要!$B$10:$M$10)/2+SUM(总资产摘要!$B$10:$D$10)/SUM(总资产摘要!$B$10:$M$10)</f>
        <v>0.40698851242102047</v>
      </c>
      <c r="E21">
        <f>总资产摘要!$F$10/SUM(总资产摘要!$B$10:$M$10)/2+SUM(总资产摘要!$B$10:$E$10)/SUM(总资产摘要!$B$10:$M$10)</f>
        <v>0.40936747753087621</v>
      </c>
      <c r="F21">
        <f>总资产摘要!$G$10/SUM(总资产摘要!$B$10:$M$10)/2+SUM(总资产摘要!$B$10:$F$10)/SUM(总资产摘要!$B$10:$M$10)</f>
        <v>0.67064840911748469</v>
      </c>
      <c r="G21">
        <f>总资产摘要!$H$10/SUM(总资产摘要!$B$10:$M$10)/2+SUM(总资产摘要!$B$10:$G$10)/SUM(总资产摘要!$B$10:$M$10)</f>
        <v>0.93052413843157666</v>
      </c>
      <c r="H21">
        <f>总资产摘要!$I$10/SUM(总资产摘要!$B$10:$M$10)/2+SUM(总资产摘要!$B$10:$H$10)/SUM(总资产摘要!$B$10:$M$10)</f>
        <v>0.93231441048034946</v>
      </c>
      <c r="I21">
        <f>总资产摘要!$J$10/SUM(总资产摘要!$B$10:$M$10)/2+SUM(总资产摘要!$B$10:$I$10)/SUM(总资产摘要!$B$10:$M$10)</f>
        <v>0.9339171878213115</v>
      </c>
      <c r="J21">
        <f>总资产摘要!$K$10/SUM(总资产摘要!$B$10:$M$10)/2+SUM(总资产摘要!$B$10:$J$10)/SUM(总资产摘要!$B$10:$M$10)</f>
        <v>0.96676505098646415</v>
      </c>
      <c r="K21">
        <f>总资产摘要!$L$10/SUM(总资产摘要!$B$10:$M$10)/2+SUM(总资产摘要!$B$10:$K$10)/SUM(总资产摘要!$B$10:$M$10)</f>
        <v>0.99939114621764713</v>
      </c>
      <c r="L21">
        <f>总资产摘要!$M$10/SUM(总资产摘要!$B$10:$M$10)/2+SUM(总资产摘要!$B$10:$L$10)/SUM(总资产摘要!$B$10:$M$10)</f>
        <v>0.99978629635453842</v>
      </c>
    </row>
    <row r="22" spans="1:12">
      <c r="A22">
        <f>总资产摘要!$B$11/SUM(总资产摘要!$B$11:$M$11)/2</f>
        <v>3.5991540414410168E-2</v>
      </c>
      <c r="B22">
        <f>总资产摘要!$C$11/SUM(总资产摘要!$B$11:$M$11)/2+总资产摘要!$B$11/SUM(总资产摘要!$B$11:$M$11)</f>
        <v>0.10912840312188751</v>
      </c>
      <c r="C22">
        <f>总资产摘要!$D$11/SUM(总资产摘要!$B$11:$M$11)/2+SUM(总资产摘要!$B$11:$C$11)/SUM(总资产摘要!$B$11:$M$11)</f>
        <v>0.19410873097222453</v>
      </c>
      <c r="D22">
        <f>总资产摘要!$E$11/SUM(总资产摘要!$B$11:$M$11)/2+SUM(总资产摘要!$B$11:$D$11)/SUM(总资产摘要!$B$11:$M$11)</f>
        <v>0.36397263468135188</v>
      </c>
      <c r="E22">
        <f>总资产摘要!$F$11/SUM(总资产摘要!$B$11:$M$11)/2+SUM(总资产摘要!$B$11:$E$11)/SUM(总资产摘要!$B$11:$M$11)</f>
        <v>0.60826760495821974</v>
      </c>
      <c r="F22">
        <f>总资产摘要!$G$11/SUM(总资产摘要!$B$11:$M$11)/2+SUM(总资产摘要!$B$11:$F$11)/SUM(总资产摘要!$B$11:$M$11)</f>
        <v>0.74884285419874019</v>
      </c>
      <c r="G22">
        <f>总资产摘要!$H$11/SUM(总资产摘要!$B$11:$M$11)/2+SUM(总资产摘要!$B$11:$G$11)/SUM(总资产摘要!$B$11:$M$11)</f>
        <v>0.78539457487478204</v>
      </c>
      <c r="H22">
        <f>总资产摘要!$I$11/SUM(总资产摘要!$B$11:$M$11)/2+SUM(总资产摘要!$B$11:$H$11)/SUM(总资产摘要!$B$11:$M$11)</f>
        <v>0.82200170441069176</v>
      </c>
      <c r="I22">
        <f>总资产摘要!$J$11/SUM(总资产摘要!$B$11:$M$11)/2+SUM(总资产摘要!$B$11:$I$11)/SUM(总资产摘要!$B$11:$M$11)</f>
        <v>0.85858161754688977</v>
      </c>
      <c r="J22">
        <f>总资产摘要!$K$11/SUM(总资产摘要!$B$11:$M$11)/2+SUM(总资产摘要!$B$11:$J$11)/SUM(总资产摘要!$B$11:$M$11)</f>
        <v>0.89578227898122154</v>
      </c>
      <c r="K22">
        <f>总资产摘要!$L$11/SUM(总资产摘要!$B$11:$M$11)/2+SUM(总资产摘要!$B$11:$K$11)/SUM(总资产摘要!$B$11:$M$11)</f>
        <v>0.93436211382342826</v>
      </c>
      <c r="L22">
        <f>总资产摘要!$M$11/SUM(总资产摘要!$B$11:$M$11)/2+SUM(总资产摘要!$B$11:$L$11)/SUM(总资产摘要!$B$11:$M$11)</f>
        <v>0.97697830719606149</v>
      </c>
    </row>
    <row r="23" spans="1:12">
      <c r="A23">
        <f>总资产摘要!$B$12/SUM(总资产摘要!$B$12:$M$12)/2</f>
        <v>5.3187507464902715E-2</v>
      </c>
      <c r="B23">
        <f>总资产摘要!$C$12/SUM(总资产摘要!$B$12:$M$12)/2+总资产摘要!$B$12/SUM(总资产摘要!$B$12:$M$12)</f>
        <v>0.16207214534071684</v>
      </c>
      <c r="C23">
        <f>总资产摘要!$D$12/SUM(总资产摘要!$B$12:$M$12)/2+SUM(总资产摘要!$B$12:$C$12)/SUM(总资产摘要!$B$12:$M$12)</f>
        <v>0.27287180546973272</v>
      </c>
      <c r="D23">
        <f>总资产摘要!$E$12/SUM(总资产摘要!$B$12:$M$12)/2+SUM(总资产摘要!$B$12:$D$12)/SUM(总资产摘要!$B$12:$M$12)</f>
        <v>0.38351705870263636</v>
      </c>
      <c r="E23">
        <f>总资产摘要!$F$12/SUM(总资产摘要!$B$12:$M$12)/2+SUM(总资产摘要!$B$12:$E$12)/SUM(总资产摘要!$B$12:$M$12)</f>
        <v>0.49595270128043439</v>
      </c>
      <c r="F23">
        <f>总资产摘要!$G$12/SUM(总资产摘要!$B$12:$M$12)/2+SUM(总资产摘要!$B$12:$F$12)/SUM(总资产摘要!$B$12:$M$12)</f>
        <v>0.56253234981449129</v>
      </c>
      <c r="G23">
        <f>总资产摘要!$H$12/SUM(总资产摘要!$B$12:$M$12)/2+SUM(总资产摘要!$B$12:$G$12)/SUM(总资产摘要!$B$12:$M$12)</f>
        <v>0.58886913165603028</v>
      </c>
      <c r="H23">
        <f>总资产摘要!$I$12/SUM(总资产摘要!$B$12:$M$12)/2+SUM(总资产摘要!$B$12:$H$12)/SUM(总资产摘要!$B$12:$M$12)</f>
        <v>0.62261590329609695</v>
      </c>
      <c r="I23">
        <f>总资产摘要!$J$12/SUM(总资产摘要!$B$12:$M$12)/2+SUM(总资产摘要!$B$12:$I$12)/SUM(总资产摘要!$B$12:$M$12)</f>
        <v>0.6658176741907863</v>
      </c>
      <c r="J23">
        <f>总资产摘要!$K$12/SUM(总资产摘要!$B$12:$M$12)/2+SUM(总资产摘要!$B$12:$J$12)/SUM(总资产摘要!$B$12:$M$12)</f>
        <v>0.74147147066306651</v>
      </c>
      <c r="K23">
        <f>总资产摘要!$L$12/SUM(总资产摘要!$B$12:$M$12)/2+SUM(总资产摘要!$B$12:$K$12)/SUM(总资产摘要!$B$12:$M$12)</f>
        <v>0.84398737491585818</v>
      </c>
      <c r="L23">
        <f>总资产摘要!$M$12/SUM(总资产摘要!$B$12:$M$12)/2+SUM(总资产摘要!$B$12:$L$12)/SUM(总资产摘要!$B$12:$M$12)</f>
        <v>0.94847726716073677</v>
      </c>
    </row>
    <row r="24" spans="1:12">
      <c r="A24">
        <f>总资产摘要!$B$13/SUM(总资产摘要!$B$13:$M$13)/2</f>
        <v>4.2841888854552507E-2</v>
      </c>
      <c r="B24">
        <f>总资产摘要!$C$13/SUM(总资产摘要!$B$13:$M$13)/2+总资产摘要!$B$13/SUM(总资产摘要!$B$13:$M$13)</f>
        <v>0.12215392604964923</v>
      </c>
      <c r="C24">
        <f>总资产摘要!$D$13/SUM(总资产摘要!$B$13:$M$13)/2+SUM(总资产摘要!$B$13:$C$13)/SUM(总资产摘要!$B$13:$M$13)</f>
        <v>0.19661978128789231</v>
      </c>
      <c r="D24">
        <f>总资产摘要!$E$13/SUM(总资产摘要!$B$13:$M$13)/2+SUM(总资产摘要!$B$13:$D$13)/SUM(总资产摘要!$B$13:$M$13)</f>
        <v>0.27330239330804501</v>
      </c>
      <c r="E24">
        <f>总资产摘要!$F$13/SUM(总资产摘要!$B$13:$M$13)/2+SUM(总资产摘要!$B$13:$E$13)/SUM(总资产摘要!$B$13:$M$13)</f>
        <v>0.35228908012799587</v>
      </c>
      <c r="F24">
        <f>总资产摘要!$G$13/SUM(总资产摘要!$B$13:$M$13)/2+SUM(总资产摘要!$B$13:$F$13)/SUM(总资产摘要!$B$13:$M$13)</f>
        <v>0.43674536204804637</v>
      </c>
      <c r="G24">
        <f>总资产摘要!$H$13/SUM(总资产摘要!$B$13:$M$13)/2+SUM(总资产摘要!$B$13:$G$13)/SUM(总资产摘要!$B$13:$M$13)</f>
        <v>0.52499159880812429</v>
      </c>
      <c r="H24">
        <f>总资产摘要!$I$13/SUM(总资产摘要!$B$13:$M$13)/2+SUM(总资产摘要!$B$13:$H$13)/SUM(总资产摘要!$B$13:$M$13)</f>
        <v>0.6132982108032714</v>
      </c>
      <c r="I24">
        <f>总资产摘要!$J$13/SUM(总资产摘要!$B$13:$M$13)/2+SUM(总资产摘要!$B$13:$I$13)/SUM(总资产摘要!$B$13:$M$13)</f>
        <v>0.70092255949241966</v>
      </c>
      <c r="J24">
        <f>总资产摘要!$K$13/SUM(总资产摘要!$B$13:$M$13)/2+SUM(总资产摘要!$B$13:$J$13)/SUM(总资产摘要!$B$13:$M$13)</f>
        <v>0.78690573083616178</v>
      </c>
      <c r="K24">
        <f>总资产摘要!$L$13/SUM(总资产摘要!$B$13:$M$13)/2+SUM(总资产摘要!$B$13:$K$13)/SUM(总资产摘要!$B$13:$M$13)</f>
        <v>0.87287594802483404</v>
      </c>
      <c r="L24">
        <f>总资产摘要!$M$13/SUM(总资产摘要!$B$13:$M$13)/2+SUM(总资产摘要!$B$13:$L$13)/SUM(总资产摘要!$B$13:$M$13)</f>
        <v>0.95813523355064478</v>
      </c>
    </row>
    <row r="25" spans="1:12">
      <c r="A25" t="e">
        <f>总资产摘要!#REF!/SUM(总资产摘要!#REF!)/2</f>
        <v>#REF!</v>
      </c>
      <c r="B25" t="e">
        <f>总资产摘要!#REF!/SUM(总资产摘要!#REF!)/2+总资产摘要!#REF!/SUM(总资产摘要!#REF!)</f>
        <v>#REF!</v>
      </c>
      <c r="C25" t="e">
        <f>总资产摘要!#REF!/SUM(总资产摘要!#REF!)/2+SUM(总资产摘要!#REF!)/SUM(总资产摘要!#REF!)</f>
        <v>#REF!</v>
      </c>
      <c r="D25" t="e">
        <f>总资产摘要!#REF!/SUM(总资产摘要!#REF!)/2+SUM(总资产摘要!#REF!)/SUM(总资产摘要!#REF!)</f>
        <v>#REF!</v>
      </c>
      <c r="E25" t="e">
        <f>总资产摘要!#REF!/SUM(总资产摘要!#REF!)/2+SUM(总资产摘要!#REF!)/SUM(总资产摘要!#REF!)</f>
        <v>#REF!</v>
      </c>
      <c r="F25" t="e">
        <f>总资产摘要!#REF!/SUM(总资产摘要!#REF!)/2+SUM(总资产摘要!#REF!)/SUM(总资产摘要!#REF!)</f>
        <v>#REF!</v>
      </c>
      <c r="G25" t="e">
        <f>总资产摘要!#REF!/SUM(总资产摘要!#REF!)/2+SUM(总资产摘要!#REF!)/SUM(总资产摘要!#REF!)</f>
        <v>#REF!</v>
      </c>
      <c r="H25" t="e">
        <f>总资产摘要!#REF!/SUM(总资产摘要!#REF!)/2+SUM(总资产摘要!#REF!)/SUM(总资产摘要!#REF!)</f>
        <v>#REF!</v>
      </c>
      <c r="I25" t="e">
        <f>总资产摘要!#REF!/SUM(总资产摘要!#REF!)/2+SUM(总资产摘要!#REF!)/SUM(总资产摘要!#REF!)</f>
        <v>#REF!</v>
      </c>
      <c r="J25" t="e">
        <f>总资产摘要!#REF!/SUM(总资产摘要!#REF!)/2+SUM(总资产摘要!#REF!)/SUM(总资产摘要!#REF!)</f>
        <v>#REF!</v>
      </c>
      <c r="K25" t="e">
        <f>总资产摘要!#REF!/SUM(总资产摘要!#REF!)/2+SUM(总资产摘要!#REF!)/SUM(总资产摘要!#REF!)</f>
        <v>#REF!</v>
      </c>
      <c r="L25" t="e">
        <f>总资产摘要!#REF!/SUM(总资产摘要!#REF!)/2+SUM(总资产摘要!#REF!)/SUM(总资产摘要!#REF!)</f>
        <v>#REF!</v>
      </c>
    </row>
    <row r="26" spans="1:12">
      <c r="A26" t="s">
        <v>63</v>
      </c>
    </row>
    <row r="28" spans="1:12">
      <c r="A28">
        <f ca="1">IFERROR(MAX(总资产摘要!$B$5:$B$13)*1.1-总资产摘要!$B5,0)</f>
        <v>166134.33600000004</v>
      </c>
      <c r="B28">
        <f ca="1">IFERROR(MAX(总资产摘要!$C$5:$C$13)*1.1-总资产摘要!$C5,0)</f>
        <v>286206.27299999999</v>
      </c>
      <c r="C28">
        <f ca="1">IFERROR(MAX(总资产摘要!$D$5:$D$13)*1.1-总资产摘要!$D5,0)</f>
        <v>471982.34700000001</v>
      </c>
      <c r="D28">
        <f ca="1">IFERROR(MAX(总资产摘要!$E$5:$E$13)*1.1-总资产摘要!$E5,0)</f>
        <v>389038.11100000003</v>
      </c>
      <c r="E28">
        <f ca="1">IFERROR(MAX(总资产摘要!$F$5:$F$13)*1.1-总资产摘要!$F5,0)</f>
        <v>409864.80700000003</v>
      </c>
      <c r="F28">
        <f ca="1">IFERROR(MAX(总资产摘要!$G$5:$G$13)*1.1-总资产摘要!$G5,0)</f>
        <v>87271.10500000004</v>
      </c>
      <c r="G28">
        <f ca="1">IFERROR(MAX(总资产摘要!$H$5:$H$13)*1.1-总资产摘要!$H5,0)</f>
        <v>96784.484000000011</v>
      </c>
      <c r="H28">
        <f ca="1">IFERROR(MAX(总资产摘要!$I$5:$I$13)*1.1-总资产摘要!$I5,0)</f>
        <v>104740.76000000001</v>
      </c>
      <c r="I28">
        <f ca="1">IFERROR(MAX(总资产摘要!$J$5:$J$13)*1.1-总资产摘要!$J5,0)</f>
        <v>112088.58000000002</v>
      </c>
      <c r="J28">
        <f ca="1">IFERROR(MAX(总资产摘要!$K$5:$K$13)*1.1-总资产摘要!$K5,0)</f>
        <v>111179.54300000002</v>
      </c>
      <c r="K28">
        <f ca="1">IFERROR(MAX(总资产摘要!$L$5:$L$13)*1.1-总资产摘要!$L5,0)</f>
        <v>121311.78400000003</v>
      </c>
      <c r="L28">
        <f ca="1">IFERROR(MAX(总资产摘要!$M$5:$M$13)*1.1-总资产摘要!$M5,0)</f>
        <v>149670.19400000002</v>
      </c>
    </row>
    <row r="29" spans="1:12">
      <c r="A29">
        <f ca="1">IFERROR(MAX(总资产摘要!$B$5:$B$13)*1.1-总资产摘要!$B6,0)</f>
        <v>19293.57600000003</v>
      </c>
      <c r="B29">
        <f ca="1">IFERROR(MAX(总资产摘要!$C$5:$C$13)*1.1-总资产摘要!$C6,0)</f>
        <v>26018.752999999997</v>
      </c>
      <c r="C29">
        <f ca="1">IFERROR(MAX(总资产摘要!$D$5:$D$13)*1.1-总资产摘要!$D6,0)</f>
        <v>42907.487000000023</v>
      </c>
      <c r="D29">
        <f ca="1">IFERROR(MAX(总资产摘要!$E$5:$E$13)*1.1-总资产摘要!$E6,0)</f>
        <v>35367.101000000024</v>
      </c>
      <c r="E29">
        <f ca="1">IFERROR(MAX(总资产摘要!$F$5:$F$13)*1.1-总资产摘要!$F6,0)</f>
        <v>37260.437000000034</v>
      </c>
      <c r="F29">
        <f ca="1">IFERROR(MAX(总资产摘要!$G$5:$G$13)*1.1-总资产摘要!$G6,0)</f>
        <v>15339.745000000024</v>
      </c>
      <c r="G29">
        <f ca="1">IFERROR(MAX(总资产摘要!$H$5:$H$13)*1.1-总资产摘要!$H6,0)</f>
        <v>16207.994000000006</v>
      </c>
      <c r="H29">
        <f ca="1">IFERROR(MAX(总资产摘要!$I$5:$I$13)*1.1-总资产摘要!$I6,0)</f>
        <v>16939.290000000008</v>
      </c>
      <c r="I29">
        <f ca="1">IFERROR(MAX(总资产摘要!$J$5:$J$13)*1.1-总资产摘要!$J6,0)</f>
        <v>17245.840000000026</v>
      </c>
      <c r="J29">
        <f ca="1">IFERROR(MAX(总资产摘要!$K$5:$K$13)*1.1-总资产摘要!$K6,0)</f>
        <v>16823.273000000016</v>
      </c>
      <c r="K29">
        <f ca="1">IFERROR(MAX(总资产摘要!$L$5:$L$13)*1.1-总资产摘要!$L6,0)</f>
        <v>17363.104000000021</v>
      </c>
      <c r="L29">
        <f ca="1">IFERROR(MAX(总资产摘要!$M$5:$M$13)*1.1-总资产摘要!$M6,0)</f>
        <v>18759.564000000013</v>
      </c>
    </row>
    <row r="30" spans="1:12">
      <c r="A30">
        <f ca="1">IFERROR(MAX(总资产摘要!$B$5:$B$13)*1.1-总资产摘要!$B7,0)</f>
        <v>210109.96600000004</v>
      </c>
      <c r="B30">
        <f ca="1">IFERROR(MAX(总资产摘要!$C$5:$C$13)*1.1-总资产摘要!$C7,0)</f>
        <v>284121.473</v>
      </c>
      <c r="C30">
        <f ca="1">IFERROR(MAX(总资产摘要!$D$5:$D$13)*1.1-总资产摘要!$D7,0)</f>
        <v>470008.467</v>
      </c>
      <c r="D30">
        <f ca="1">IFERROR(MAX(总资产摘要!$E$5:$E$13)*1.1-总资产摘要!$E7,0)</f>
        <v>388985.03100000002</v>
      </c>
      <c r="E30">
        <f ca="1">IFERROR(MAX(总资产摘要!$F$5:$F$13)*1.1-总资产摘要!$F7,0)</f>
        <v>409811.85700000002</v>
      </c>
      <c r="F30">
        <f ca="1">IFERROR(MAX(总资产摘要!$G$5:$G$13)*1.1-总资产摘要!$G7,0)</f>
        <v>158278.30500000005</v>
      </c>
      <c r="G30">
        <f ca="1">IFERROR(MAX(总资产摘要!$H$5:$H$13)*1.1-总资产摘要!$H7,0)</f>
        <v>165675.71400000001</v>
      </c>
      <c r="H30">
        <f ca="1">IFERROR(MAX(总资产摘要!$I$5:$I$13)*1.1-总资产摘要!$I7,0)</f>
        <v>176274.84</v>
      </c>
      <c r="I30">
        <f ca="1">IFERROR(MAX(总资产摘要!$J$5:$J$13)*1.1-总资产摘要!$J7,0)</f>
        <v>189409.68000000002</v>
      </c>
      <c r="J30">
        <f ca="1">IFERROR(MAX(总资产摘要!$K$5:$K$13)*1.1-总资产摘要!$K7,0)</f>
        <v>185049.14300000004</v>
      </c>
      <c r="K30">
        <f ca="1">IFERROR(MAX(总资产摘要!$L$5:$L$13)*1.1-总资产摘要!$L7,0)</f>
        <v>190993.82400000002</v>
      </c>
      <c r="L30">
        <f ca="1">IFERROR(MAX(总资产摘要!$M$5:$M$13)*1.1-总资产摘要!$M7,0)</f>
        <v>205887.02400000003</v>
      </c>
    </row>
    <row r="31" spans="1:12">
      <c r="A31">
        <f ca="1">IFERROR(MAX(总资产摘要!$B$5:$B$13)*1.1-总资产摘要!$B8,0)</f>
        <v>212229.32683300003</v>
      </c>
      <c r="B31">
        <f ca="1">IFERROR(MAX(总资产摘要!$C$5:$C$13)*1.1-总资产摘要!$C8,0)</f>
        <v>286206.27383299998</v>
      </c>
      <c r="C31">
        <f ca="1">IFERROR(MAX(总资产摘要!$D$5:$D$13)*1.1-总资产摘要!$D8,0)</f>
        <v>471982.34783300001</v>
      </c>
      <c r="D31">
        <f ca="1">IFERROR(MAX(总资产摘要!$E$5:$E$13)*1.1-总资产摘要!$E8,0)</f>
        <v>389038.10183300002</v>
      </c>
      <c r="E31">
        <f ca="1">IFERROR(MAX(总资产摘要!$F$5:$F$13)*1.1-总资产摘要!$F8,0)</f>
        <v>409864.79783300002</v>
      </c>
      <c r="F31">
        <f ca="1">IFERROR(MAX(总资产摘要!$G$5:$G$13)*1.1-总资产摘要!$G8,0)</f>
        <v>163036.07500000004</v>
      </c>
      <c r="G31">
        <f ca="1">IFERROR(MAX(总资产摘要!$H$5:$H$13)*1.1-总资产摘要!$H8,0)</f>
        <v>178287.86273600001</v>
      </c>
      <c r="H31">
        <f ca="1">IFERROR(MAX(总资产摘要!$I$5:$I$13)*1.1-总资产摘要!$I8,0)</f>
        <v>186332.18083299999</v>
      </c>
      <c r="I31">
        <f ca="1">IFERROR(MAX(总资产摘要!$J$5:$J$13)*1.1-总资产摘要!$J8,0)</f>
        <v>189704.14833000003</v>
      </c>
      <c r="J31">
        <f ca="1">IFERROR(MAX(总资产摘要!$K$5:$K$13)*1.1-总资产摘要!$K8,0)</f>
        <v>185056.00300000003</v>
      </c>
      <c r="K31">
        <f ca="1">IFERROR(MAX(总资产摘要!$L$5:$L$13)*1.1-总资产摘要!$L8,0)</f>
        <v>190994.13483300002</v>
      </c>
      <c r="L31">
        <f ca="1">IFERROR(MAX(总资产摘要!$M$5:$M$13)*1.1-总资产摘要!$M8,0)</f>
        <v>206355.19483300002</v>
      </c>
    </row>
    <row r="32" spans="1:12">
      <c r="A32">
        <f ca="1">IFERROR(MAX(总资产摘要!$B$5:$B$13)*1.1-总资产摘要!$B9,0)</f>
        <v>212229.13600000003</v>
      </c>
      <c r="B32">
        <f ca="1">IFERROR(MAX(总资产摘要!$C$5:$C$13)*1.1-总资产摘要!$C9,0)</f>
        <v>276119.50299999997</v>
      </c>
      <c r="C32">
        <f ca="1">IFERROR(MAX(总资产摘要!$D$5:$D$13)*1.1-总资产摘要!$D9,0)</f>
        <v>471982.337</v>
      </c>
      <c r="D32">
        <f ca="1">IFERROR(MAX(总资产摘要!$E$5:$E$13)*1.1-总资产摘要!$E9,0)</f>
        <v>389038.07100000005</v>
      </c>
      <c r="E32">
        <f ca="1">IFERROR(MAX(总资产摘要!$F$5:$F$13)*1.1-总资产摘要!$F9,0)</f>
        <v>409863.76700000005</v>
      </c>
      <c r="F32">
        <f ca="1">IFERROR(MAX(总资产摘要!$G$5:$G$13)*1.1-总资产摘要!$G9,0)</f>
        <v>168426.21500000003</v>
      </c>
      <c r="G32">
        <f ca="1">IFERROR(MAX(总资产摘要!$H$5:$H$13)*1.1-总资产摘要!$H9,0)</f>
        <v>178241.394</v>
      </c>
      <c r="H32">
        <f ca="1">IFERROR(MAX(总资产摘要!$I$5:$I$13)*1.1-总资产摘要!$I9,0)</f>
        <v>186330.23</v>
      </c>
      <c r="I32">
        <f ca="1">IFERROR(MAX(总资产摘要!$J$5:$J$13)*1.1-总资产摘要!$J9,0)</f>
        <v>189703.28000000003</v>
      </c>
      <c r="J32">
        <f ca="1">IFERROR(MAX(总资产摘要!$K$5:$K$13)*1.1-总资产摘要!$K9,0)</f>
        <v>185054.85300000003</v>
      </c>
      <c r="K32">
        <f ca="1">IFERROR(MAX(总资产摘要!$L$5:$L$13)*1.1-总资产摘要!$L9,0)</f>
        <v>190993.99400000004</v>
      </c>
      <c r="L32">
        <f ca="1">IFERROR(MAX(总资产摘要!$M$5:$M$13)*1.1-总资产摘要!$M9,0)</f>
        <v>206291.70400000003</v>
      </c>
    </row>
    <row r="33" spans="1:24">
      <c r="A33">
        <f ca="1">IFERROR(MAX(总资产摘要!$B$5:$B$13)*1.1-总资产摘要!$B10,0)</f>
        <v>212094.47600000005</v>
      </c>
      <c r="B33">
        <f ca="1">IFERROR(MAX(总资产摘要!$C$5:$C$13)*1.1-总资产摘要!$C10,0)</f>
        <v>285340.07299999997</v>
      </c>
      <c r="C33">
        <f ca="1">IFERROR(MAX(总资产摘要!$D$5:$D$13)*1.1-总资产摘要!$D10,0)</f>
        <v>471975.01699999999</v>
      </c>
      <c r="D33">
        <f ca="1">IFERROR(MAX(总资产摘要!$E$5:$E$13)*1.1-总资产摘要!$E10,0)</f>
        <v>389036.21100000001</v>
      </c>
      <c r="E33">
        <f ca="1">IFERROR(MAX(总资产摘要!$F$5:$F$13)*1.1-总资产摘要!$F10,0)</f>
        <v>409854.90700000001</v>
      </c>
      <c r="F33">
        <f ca="1">IFERROR(MAX(总资产摘要!$G$5:$G$13)*1.1-总资产摘要!$G10,0)</f>
        <v>167451.10500000004</v>
      </c>
      <c r="G33">
        <f ca="1">IFERROR(MAX(总资产摘要!$H$5:$H$13)*1.1-总资产摘要!$H10,0)</f>
        <v>178285.00400000002</v>
      </c>
      <c r="H33">
        <f ca="1">IFERROR(MAX(总资产摘要!$I$5:$I$13)*1.1-总资产摘要!$I10,0)</f>
        <v>186326.24</v>
      </c>
      <c r="I33">
        <f ca="1">IFERROR(MAX(总资产摘要!$J$5:$J$13)*1.1-总资产摘要!$J10,0)</f>
        <v>189702.24000000002</v>
      </c>
      <c r="J33">
        <f ca="1">IFERROR(MAX(总资产摘要!$K$5:$K$13)*1.1-总资产摘要!$K10,0)</f>
        <v>184895.07300000003</v>
      </c>
      <c r="K33">
        <f ca="1">IFERROR(MAX(总资产摘要!$L$5:$L$13)*1.1-总资产摘要!$L10,0)</f>
        <v>190993.24400000004</v>
      </c>
      <c r="L33">
        <f ca="1">IFERROR(MAX(总资产摘要!$M$5:$M$13)*1.1-总资产摘要!$M10,0)</f>
        <v>206354.14400000003</v>
      </c>
    </row>
    <row r="34" spans="1:24">
      <c r="A34">
        <f ca="1">IFERROR(MAX(总资产摘要!$B$5:$B$13)*1.1-总资产摘要!$B11,0)</f>
        <v>170930.12600000005</v>
      </c>
      <c r="B34">
        <f ca="1">IFERROR(MAX(总资产摘要!$C$5:$C$13)*1.1-总资产摘要!$C11,0)</f>
        <v>243583.14299999998</v>
      </c>
      <c r="C34">
        <f ca="1">IFERROR(MAX(总资产摘要!$D$5:$D$13)*1.1-总资产摘要!$D11,0)</f>
        <v>417093.12700000004</v>
      </c>
      <c r="D34">
        <f ca="1">IFERROR(MAX(总资产摘要!$E$5:$E$13)*1.1-总资产摘要!$E11,0)</f>
        <v>249013.62100000004</v>
      </c>
      <c r="E34">
        <f ca="1">IFERROR(MAX(总资产摘要!$F$5:$F$13)*1.1-总资产摘要!$F11,0)</f>
        <v>269568.16700000002</v>
      </c>
      <c r="F34">
        <f ca="1">IFERROR(MAX(总资产摘要!$G$5:$G$13)*1.1-总资产摘要!$G11,0)</f>
        <v>147727.96500000003</v>
      </c>
      <c r="G34">
        <f ca="1">IFERROR(MAX(总资产摘要!$H$5:$H$13)*1.1-总资产摘要!$H11,0)</f>
        <v>157355.16400000002</v>
      </c>
      <c r="H34">
        <f ca="1">IFERROR(MAX(总资产摘要!$I$5:$I$13)*1.1-总资产摘要!$I11,0)</f>
        <v>165259.38</v>
      </c>
      <c r="I34">
        <f ca="1">IFERROR(MAX(总资产摘要!$J$5:$J$13)*1.1-总资产摘要!$J11,0)</f>
        <v>168802.7</v>
      </c>
      <c r="J34">
        <f ca="1">IFERROR(MAX(总资产摘要!$K$5:$K$13)*1.1-总资产摘要!$K11,0)</f>
        <v>163270.90300000002</v>
      </c>
      <c r="K34">
        <f ca="1">IFERROR(MAX(总资产摘要!$L$5:$L$13)*1.1-总资产摘要!$L11,0)</f>
        <v>168510.04400000002</v>
      </c>
      <c r="L34">
        <f ca="1">IFERROR(MAX(总资产摘要!$M$5:$M$13)*1.1-总资产摘要!$M11,0)</f>
        <v>179938.50400000002</v>
      </c>
    </row>
    <row r="35" spans="1:24">
      <c r="A35">
        <f ca="1">IFERROR(MAX(总资产摘要!$B$5:$B$13)*1.1-总资产摘要!$B12,0)</f>
        <v>165640.67600000004</v>
      </c>
      <c r="B35">
        <f ca="1">IFERROR(MAX(总资产摘要!$C$5:$C$13)*1.1-总资产摘要!$C12,0)</f>
        <v>237419.36300000001</v>
      </c>
      <c r="C35">
        <f ca="1">IFERROR(MAX(总资产摘要!$D$5:$D$13)*1.1-总资产摘要!$D12,0)</f>
        <v>423716.26699999999</v>
      </c>
      <c r="D35">
        <f ca="1">IFERROR(MAX(总资产摘要!$E$5:$E$13)*1.1-总资产摘要!$E12,0)</f>
        <v>340386.44100000005</v>
      </c>
      <c r="E35">
        <f ca="1">IFERROR(MAX(总资产摘要!$F$5:$F$13)*1.1-总资产摘要!$F12,0)</f>
        <v>360030.45700000005</v>
      </c>
      <c r="F35">
        <f ca="1">IFERROR(MAX(总资产摘要!$G$5:$G$13)*1.1-总资产摘要!$G12,0)</f>
        <v>160252.27500000002</v>
      </c>
      <c r="G35">
        <f ca="1">IFERROR(MAX(总资产摘要!$H$5:$H$13)*1.1-总资产摘要!$H12,0)</f>
        <v>163703.614</v>
      </c>
      <c r="H35">
        <f ca="1">IFERROR(MAX(总资产摘要!$I$5:$I$13)*1.1-总资产摘要!$I12,0)</f>
        <v>171356.62</v>
      </c>
      <c r="I35">
        <f ca="1">IFERROR(MAX(总资产摘要!$J$5:$J$13)*1.1-总资产摘要!$J12,0)</f>
        <v>166837.98000000001</v>
      </c>
      <c r="J35">
        <f ca="1">IFERROR(MAX(总资产摘要!$K$5:$K$13)*1.1-总资产摘要!$K12,0)</f>
        <v>141654.65300000002</v>
      </c>
      <c r="K35">
        <f ca="1">IFERROR(MAX(总资产摘要!$L$5:$L$13)*1.1-总资产摘要!$L12,0)</f>
        <v>144598.49400000004</v>
      </c>
      <c r="L35">
        <f ca="1">IFERROR(MAX(总资产摘要!$M$5:$M$13)*1.1-总资产摘要!$M12,0)</f>
        <v>161224.77400000003</v>
      </c>
    </row>
    <row r="36" spans="1:24">
      <c r="A36">
        <f ca="1">IFERROR(MAX(总资产摘要!$B$5:$B$13)*1.1-总资产摘要!$B13,0)</f>
        <v>203383.25660000005</v>
      </c>
      <c r="B36">
        <f ca="1">IFERROR(MAX(总资产摘要!$C$5:$C$13)*1.1-总资产摘要!$C13,0)</f>
        <v>278675.85340000002</v>
      </c>
      <c r="C36">
        <f ca="1">IFERROR(MAX(总资产摘要!$D$5:$D$13)*1.1-总资产摘要!$D13,0)</f>
        <v>464136.92700000003</v>
      </c>
      <c r="D36">
        <f ca="1">IFERROR(MAX(总资产摘要!$E$5:$E$13)*1.1-总资产摘要!$E13,0)</f>
        <v>381049.96100000001</v>
      </c>
      <c r="E36">
        <f ca="1">IFERROR(MAX(总资产摘要!$F$5:$F$13)*1.1-总资产摘要!$F13,0)</f>
        <v>401543.62700000004</v>
      </c>
      <c r="F36">
        <f ca="1">IFERROR(MAX(总资产摘要!$G$5:$G$13)*1.1-总资产摘要!$G13,0)</f>
        <v>159619.67200000005</v>
      </c>
      <c r="G36">
        <f ca="1">IFERROR(MAX(总资产摘要!$H$5:$H$13)*1.1-总资产摘要!$H13,0)</f>
        <v>169184.19650000002</v>
      </c>
      <c r="H36">
        <f ca="1">IFERROR(MAX(总资产摘要!$I$5:$I$13)*1.1-总资产摘要!$I13,0)</f>
        <v>177202.20060000001</v>
      </c>
      <c r="I36">
        <f ca="1">IFERROR(MAX(总资产摘要!$J$5:$J$13)*1.1-总资产摘要!$J13,0)</f>
        <v>180741.37760000001</v>
      </c>
      <c r="J36">
        <f ca="1">IFERROR(MAX(总资产摘要!$K$5:$K$13)*1.1-总资产摘要!$K13,0)</f>
        <v>176264.88720000003</v>
      </c>
      <c r="K36">
        <f ca="1">IFERROR(MAX(总资产摘要!$L$5:$L$13)*1.1-总资产摘要!$L13,0)</f>
        <v>182033.95640000002</v>
      </c>
      <c r="L36">
        <f ca="1">IFERROR(MAX(总资产摘要!$M$5:$M$13)*1.1-总资产摘要!$M13,0)</f>
        <v>197710.88280000002</v>
      </c>
    </row>
    <row r="37" spans="1:24">
      <c r="A37">
        <f ca="1">IFERROR(MAX(总资产摘要!$B$5:$B$13)*1.1-总资产摘要!#REF!,0)</f>
        <v>0</v>
      </c>
      <c r="B37">
        <f ca="1">IFERROR(MAX(总资产摘要!$C$5:$C$13)*1.1-总资产摘要!#REF!,0)</f>
        <v>0</v>
      </c>
      <c r="C37">
        <f ca="1">IFERROR(MAX(总资产摘要!$D$5:$D$13)*1.1-总资产摘要!#REF!,0)</f>
        <v>0</v>
      </c>
      <c r="D37">
        <f ca="1">IFERROR(MAX(总资产摘要!$E$5:$E$13)*1.1-总资产摘要!#REF!,0)</f>
        <v>0</v>
      </c>
      <c r="E37">
        <f ca="1">IFERROR(MAX(总资产摘要!$F$5:$F$13)*1.1-总资产摘要!#REF!,0)</f>
        <v>0</v>
      </c>
      <c r="F37">
        <f ca="1">IFERROR(MAX(总资产摘要!$G$5:$G$13)*1.1-总资产摘要!#REF!,0)</f>
        <v>0</v>
      </c>
      <c r="G37">
        <f ca="1">IFERROR(MAX(总资产摘要!$H$5:$H$13)*1.1-总资产摘要!#REF!,0)</f>
        <v>0</v>
      </c>
      <c r="H37">
        <f ca="1">IFERROR(MAX(总资产摘要!$I$5:$I$13)*1.1-总资产摘要!#REF!,0)</f>
        <v>0</v>
      </c>
      <c r="I37">
        <f ca="1">IFERROR(MAX(总资产摘要!$J$5:$J$13)*1.1-总资产摘要!#REF!,0)</f>
        <v>0</v>
      </c>
      <c r="J37">
        <f ca="1">IFERROR(MAX(总资产摘要!$K$5:$K$13)*1.1-总资产摘要!#REF!,0)</f>
        <v>0</v>
      </c>
      <c r="K37">
        <f ca="1">IFERROR(MAX(总资产摘要!$L$5:$L$13)*1.1-总资产摘要!#REF!,0)</f>
        <v>0</v>
      </c>
      <c r="L37">
        <f ca="1">IFERROR(MAX(总资产摘要!$M$5:$M$13)*1.1-总资产摘要!#REF!,0)</f>
        <v>0</v>
      </c>
    </row>
    <row r="38" spans="1:24">
      <c r="A38">
        <v>0</v>
      </c>
      <c r="B38">
        <f ca="1">IFERROR(MAX(总资产摘要!$B$5:$B$13)*1.1+Kutools_Chart!$A$38,0)</f>
        <v>212229.33600000004</v>
      </c>
      <c r="C38">
        <f ca="1">IFERROR(MAX(总资产摘要!$C$5:$C$13)*1.1+Kutools_Chart!$B$38,0)</f>
        <v>498435.61900000006</v>
      </c>
      <c r="D38">
        <f ca="1">IFERROR(MAX(总资产摘要!$D$5:$D$13)*1.1+Kutools_Chart!$C$38,0)</f>
        <v>970417.97600000002</v>
      </c>
      <c r="E38">
        <f ca="1">IFERROR(MAX(总资产摘要!$E$5:$E$13)*1.1+Kutools_Chart!$D$38,0)</f>
        <v>1359456.0870000001</v>
      </c>
      <c r="F38">
        <f ca="1">IFERROR(MAX(总资产摘要!$F$5:$F$13)*1.1+Kutools_Chart!$E$38,0)</f>
        <v>1769320.8940000001</v>
      </c>
      <c r="G38">
        <f ca="1">IFERROR(MAX(总资产摘要!$G$5:$G$13)*1.1+Kutools_Chart!$F$38,0)</f>
        <v>1938058.0890000002</v>
      </c>
      <c r="H38">
        <f ca="1">IFERROR(MAX(总资产摘要!$H$5:$H$13)*1.1+Kutools_Chart!$G$38,0)</f>
        <v>2116346.023</v>
      </c>
      <c r="I38">
        <f ca="1">IFERROR(MAX(总资产摘要!$I$5:$I$13)*1.1+Kutools_Chart!$H$38,0)</f>
        <v>2302678.213</v>
      </c>
      <c r="J38">
        <f ca="1">IFERROR(MAX(总资产摘要!$J$5:$J$13)*1.1+Kutools_Chart!$I$38,0)</f>
        <v>2492382.4530000002</v>
      </c>
      <c r="K38">
        <f ca="1">IFERROR(MAX(总资产摘要!$K$5:$K$13)*1.1+Kutools_Chart!$J$38,0)</f>
        <v>2677438.4560000002</v>
      </c>
      <c r="L38">
        <f ca="1">IFERROR(MAX(总资产摘要!$L$5:$L$13)*1.1+Kutools_Chart!$K$38,0)</f>
        <v>2868432.6</v>
      </c>
    </row>
    <row r="39" spans="1:24">
      <c r="A39">
        <v>0</v>
      </c>
      <c r="B39">
        <f ca="1">MAX(总资产摘要!$B$5:$B$13)</f>
        <v>192935.76</v>
      </c>
      <c r="C39">
        <f ca="1">Kutools_Chart!$B$39+MAX(总资产摘要!$B$5:$B$13)*0.1</f>
        <v>212229.33600000001</v>
      </c>
      <c r="D39">
        <f ca="1">Kutools_Chart!$C$39+MAX(总资产摘要!$C$5:$C$13)</f>
        <v>472416.86600000004</v>
      </c>
      <c r="E39">
        <f ca="1">Kutools_Chart!$D$39+MAX(总资产摘要!$C$5:$C$13)*0.1</f>
        <v>498435.61900000006</v>
      </c>
      <c r="F39">
        <f ca="1">Kutools_Chart!$E$39+MAX(总资产摘要!$D$5:$D$13)</f>
        <v>927510.48900000006</v>
      </c>
      <c r="G39">
        <f ca="1">Kutools_Chart!$F$39+MAX(总资产摘要!$D$5:$D$13)*0.1</f>
        <v>970417.97600000002</v>
      </c>
      <c r="H39">
        <f ca="1">Kutools_Chart!$G$39+MAX(总资产摘要!$E$5:$E$13)</f>
        <v>1324088.986</v>
      </c>
      <c r="I39">
        <f ca="1">Kutools_Chart!$H$39+MAX(总资产摘要!$E$5:$E$13)*0.1</f>
        <v>1359456.0870000001</v>
      </c>
      <c r="J39">
        <f ca="1">Kutools_Chart!$I$39+MAX(总资产摘要!$F$5:$F$13)</f>
        <v>1732060.4569999999</v>
      </c>
      <c r="K39">
        <f ca="1">Kutools_Chart!$J$39+MAX(总资产摘要!$F$5:$F$13)*0.1</f>
        <v>1769320.8939999999</v>
      </c>
      <c r="L39">
        <f ca="1">Kutools_Chart!$K$39+MAX(总资产摘要!$G$5:$G$13)</f>
        <v>1922718.3439999998</v>
      </c>
      <c r="M39">
        <f ca="1">Kutools_Chart!$L$39+MAX(总资产摘要!$G$5:$G$13)*0.1</f>
        <v>1938058.0889999999</v>
      </c>
      <c r="N39">
        <f ca="1">Kutools_Chart!$M$39+MAX(总资产摘要!$H$5:$H$13)</f>
        <v>2100138.0290000001</v>
      </c>
      <c r="O39">
        <f ca="1">Kutools_Chart!$N$39+MAX(总资产摘要!$H$5:$H$13)*0.1</f>
        <v>2116346.023</v>
      </c>
      <c r="P39" s="38">
        <f ca="1">Kutools_Chart!$O$39+MAX(总资产摘要!$I$5:$I$13)</f>
        <v>2285738.923</v>
      </c>
      <c r="Q39">
        <f ca="1">Kutools_Chart!$P$39+MAX(总资产摘要!$I$5:$I$13)*0.1</f>
        <v>2302678.213</v>
      </c>
      <c r="R39" s="38">
        <f ca="1">Kutools_Chart!$Q$39+MAX(总资产摘要!$J$5:$J$13)</f>
        <v>2475136.6129999999</v>
      </c>
      <c r="S39">
        <f ca="1">Kutools_Chart!$R$39+MAX(总资产摘要!$J$5:$J$13)*0.1</f>
        <v>2492382.4529999997</v>
      </c>
      <c r="T39" s="38">
        <f ca="1">Kutools_Chart!$S$39+MAX(总资产摘要!$K$5:$K$13)</f>
        <v>2660615.1829999997</v>
      </c>
      <c r="U39">
        <f ca="1">Kutools_Chart!$T$39+MAX(总资产摘要!$K$5:$K$13)*0.1</f>
        <v>2677438.4559999998</v>
      </c>
      <c r="V39" s="38">
        <f ca="1">Kutools_Chart!$U$39+MAX(总资产摘要!$L$5:$L$13)</f>
        <v>2851069.4959999998</v>
      </c>
      <c r="W39">
        <f ca="1">Kutools_Chart!$V$39+MAX(总资产摘要!$L$5:$L$13)*0.1</f>
        <v>2868432.5999999996</v>
      </c>
      <c r="X39" s="38">
        <f ca="1">Kutools_Chart!$W$39+MAX(总资产摘要!$M$5:$M$13)</f>
        <v>3056028.2399999998</v>
      </c>
    </row>
    <row r="40" spans="1:24">
      <c r="A40">
        <v>0</v>
      </c>
      <c r="B40">
        <f ca="1">MAX(总资产摘要!$B$5:$B$13)</f>
        <v>192935.76</v>
      </c>
      <c r="C40">
        <v>0</v>
      </c>
      <c r="D40">
        <f ca="1">MAX(总资产摘要!$C$5:$C$13)</f>
        <v>260187.53</v>
      </c>
      <c r="E40">
        <v>0</v>
      </c>
      <c r="F40">
        <f ca="1">MAX(总资产摘要!$D$5:$D$13)</f>
        <v>429074.87</v>
      </c>
      <c r="G40">
        <v>0</v>
      </c>
      <c r="H40">
        <f ca="1">MAX(总资产摘要!$E$5:$E$13)</f>
        <v>353671.01</v>
      </c>
      <c r="I40">
        <v>0</v>
      </c>
      <c r="J40">
        <f ca="1">MAX(总资产摘要!$F$5:$F$13)</f>
        <v>372604.37</v>
      </c>
      <c r="K40">
        <v>0</v>
      </c>
      <c r="L40">
        <f ca="1">MAX(总资产摘要!$G$5:$G$13)</f>
        <v>153397.45000000001</v>
      </c>
      <c r="M40">
        <v>0</v>
      </c>
      <c r="N40">
        <f ca="1">MAX(总资产摘要!$H$5:$H$13)</f>
        <v>162079.94</v>
      </c>
      <c r="O40">
        <v>0</v>
      </c>
      <c r="P40" s="38">
        <f ca="1">MAX(总资产摘要!$I$5:$I$13)</f>
        <v>169392.9</v>
      </c>
      <c r="Q40">
        <v>0</v>
      </c>
      <c r="R40" s="38">
        <f ca="1">MAX(总资产摘要!$J$5:$J$13)</f>
        <v>172458.4</v>
      </c>
      <c r="S40">
        <v>0</v>
      </c>
      <c r="T40" s="38">
        <f ca="1">MAX(总资产摘要!$K$5:$K$13)</f>
        <v>168232.73</v>
      </c>
      <c r="U40">
        <v>0</v>
      </c>
      <c r="V40" s="38">
        <f ca="1">MAX(总资产摘要!$L$5:$L$13)</f>
        <v>173631.04</v>
      </c>
      <c r="W40">
        <v>0</v>
      </c>
      <c r="X40" s="38">
        <f ca="1">MAX(总资产摘要!$M$5:$M$13)</f>
        <v>187595.64</v>
      </c>
    </row>
    <row r="41" spans="1:24">
      <c r="A41" t="s">
        <v>64</v>
      </c>
    </row>
    <row r="43" spans="1:24">
      <c r="A43" s="39">
        <f ca="1">总资产摘要!B5/Kutools_Chart!A53</f>
        <v>0.13636801404717858</v>
      </c>
      <c r="B43" s="39">
        <f ca="1">总资产摘要!C5/Kutools_Chart!B53</f>
        <v>2.6869741814913453E-8</v>
      </c>
      <c r="C43" s="39">
        <f ca="1">总资产摘要!D5/Kutools_Chart!C53</f>
        <v>1.8448248144890085E-8</v>
      </c>
      <c r="D43" s="39">
        <f ca="1">总资产摘要!E5/Kutools_Chart!D53</f>
        <v>0</v>
      </c>
      <c r="E43" s="39">
        <f ca="1">总资产摘要!F5/Kutools_Chart!E53</f>
        <v>0</v>
      </c>
      <c r="F43" s="39">
        <f ca="1">总资产摘要!G5/Kutools_Chart!F53</f>
        <v>0.2797289035526016</v>
      </c>
      <c r="G43" s="39">
        <f ca="1">总资产摘要!H5/Kutools_Chart!G53</f>
        <v>0.27089619881525889</v>
      </c>
      <c r="H43" s="39">
        <f ca="1">总资产摘要!I5/Kutools_Chart!H53</f>
        <v>0.2664401634566847</v>
      </c>
      <c r="I43" s="39">
        <f ca="1">总资产摘要!J5/Kutools_Chart!I53</f>
        <v>0.25607080934611032</v>
      </c>
      <c r="J43" s="39">
        <f ca="1">总资产摘要!K5/Kutools_Chart!J53</f>
        <v>0.23359724735746565</v>
      </c>
      <c r="K43" s="39">
        <f ca="1">总资产摘要!L5/Kutools_Chart!K53</f>
        <v>0.21697442497958089</v>
      </c>
      <c r="L43" s="39">
        <f ca="1">总资产摘要!M5/Kutools_Chart!L53</f>
        <v>0.17441281241184706</v>
      </c>
    </row>
    <row r="44" spans="1:24">
      <c r="A44" s="39">
        <f ca="1">总资产摘要!B6/Kutools_Chart!A53</f>
        <v>0.57078352163755453</v>
      </c>
      <c r="B44" s="39">
        <f ca="1">总资产摘要!C6/Kutools_Chart!B53</f>
        <v>0.69911717545600482</v>
      </c>
      <c r="C44" s="39">
        <f ca="1">总资产摘要!D6/Kutools_Chart!C53</f>
        <v>0.79156796744964542</v>
      </c>
      <c r="D44" s="39">
        <f ca="1">总资产摘要!E6/Kutools_Chart!D53</f>
        <v>0.64258214290143512</v>
      </c>
      <c r="E44" s="39">
        <f ca="1">总资产摘要!F6/Kutools_Chart!E53</f>
        <v>0.6524094471972619</v>
      </c>
      <c r="F44" s="39">
        <f ca="1">总资产摘要!G6/Kutools_Chart!F53</f>
        <v>0.52671854628428871</v>
      </c>
      <c r="G44" s="39">
        <f ca="1">总资产摘要!H6/Kutools_Chart!G53</f>
        <v>0.53871142448823006</v>
      </c>
      <c r="H44" s="39">
        <f ca="1">总资产摘要!I6/Kutools_Chart!H53</f>
        <v>0.55315946741467636</v>
      </c>
      <c r="I44" s="39">
        <f ca="1">总资产摘要!J6/Kutools_Chart!I53</f>
        <v>0.56897747267156173</v>
      </c>
      <c r="J44" s="39">
        <f ca="1">总资产摘要!K6/Kutools_Chart!J53</f>
        <v>0.53195162090105197</v>
      </c>
      <c r="K44" s="39">
        <f ca="1">总资产摘要!L6/Kutools_Chart!K53</f>
        <v>0.54064608406785608</v>
      </c>
      <c r="L44" s="39">
        <f ca="1">总资产摘要!M6/Kutools_Chart!L53</f>
        <v>0.57720873946393225</v>
      </c>
    </row>
    <row r="45" spans="1:24">
      <c r="A45" s="39">
        <f ca="1">总资产摘要!B7/Kutools_Chart!A53</f>
        <v>6.2699702338902021E-3</v>
      </c>
      <c r="B45" s="39">
        <f ca="1">总资产摘要!C7/Kutools_Chart!B53</f>
        <v>5.6018306433149711E-3</v>
      </c>
      <c r="C45" s="39">
        <f ca="1">总资产摘要!D7/Kutools_Chart!C53</f>
        <v>3.6414812530717092E-3</v>
      </c>
      <c r="D45" s="39">
        <f ca="1">总资产摘要!E7/Kutools_Chart!D53</f>
        <v>9.644064449955391E-5</v>
      </c>
      <c r="E45" s="39">
        <f ca="1">总资产摘要!F7/Kutools_Chart!E53</f>
        <v>9.2712493493017869E-5</v>
      </c>
      <c r="F45" s="39">
        <f ca="1">总资产摘要!G7/Kutools_Chart!F53</f>
        <v>3.5912535290171278E-2</v>
      </c>
      <c r="G45" s="39">
        <f ca="1">总资产摘要!H7/Kutools_Chart!G53</f>
        <v>4.1919728019142552E-2</v>
      </c>
      <c r="H45" s="39">
        <f ca="1">总资产摘要!I7/Kutools_Chart!H53</f>
        <v>3.2842689213083871E-2</v>
      </c>
      <c r="I45" s="39">
        <f ca="1">总资产摘要!J7/Kutools_Chart!I53</f>
        <v>9.718169967373885E-4</v>
      </c>
      <c r="J45" s="39">
        <f ca="1">总资产摘要!K7/Kutools_Chart!J53</f>
        <v>2.1691308934838163E-5</v>
      </c>
      <c r="K45" s="39">
        <f ca="1">总资产摘要!L7/Kutools_Chart!K53</f>
        <v>9.9640448448453658E-7</v>
      </c>
      <c r="L45" s="39">
        <f ca="1">总资产摘要!M7/Kutools_Chart!L53</f>
        <v>1.4405323473521228E-3</v>
      </c>
    </row>
    <row r="46" spans="1:24">
      <c r="A46" s="39">
        <f ca="1">总资产摘要!B8/Kutools_Chart!A53</f>
        <v>2.7119765370875062E-8</v>
      </c>
      <c r="B46" s="39">
        <f ca="1">总资产摘要!C8/Kutools_Chart!B53</f>
        <v>2.4631492321731163E-8</v>
      </c>
      <c r="C46" s="39">
        <f ca="1">总资产摘要!D8/Kutools_Chart!C53</f>
        <v>1.691150907442074E-8</v>
      </c>
      <c r="D46" s="39">
        <f ca="1">总资产摘要!E8/Kutools_Chart!D53</f>
        <v>1.6655451924028084E-8</v>
      </c>
      <c r="E46" s="39">
        <f ca="1">总资产摘要!F8/Kutools_Chart!E53</f>
        <v>1.6050905152983847E-8</v>
      </c>
      <c r="F46" s="39">
        <f ca="1">总资产摘要!G8/Kutools_Chart!F53</f>
        <v>1.9575851088738983E-2</v>
      </c>
      <c r="G46" s="39">
        <f ca="1">总资产摘要!H8/Kutools_Chart!G53</f>
        <v>2.368629390825862E-7</v>
      </c>
      <c r="H46" s="39">
        <f ca="1">总资产摘要!I8/Kutools_Chart!H53</f>
        <v>2.9935214745071004E-8</v>
      </c>
      <c r="I46" s="39">
        <f ca="1">总资产摘要!J8/Kutools_Chart!I53</f>
        <v>3.0243910948844515E-7</v>
      </c>
      <c r="J46" s="39">
        <f ca="1">总资产摘要!K8/Kutools_Chart!J53</f>
        <v>0</v>
      </c>
      <c r="K46" s="39">
        <f ca="1">总资产摘要!L8/Kutools_Chart!K53</f>
        <v>2.8543874716467957E-8</v>
      </c>
      <c r="L46" s="39">
        <f ca="1">总资产摘要!M8/Kutools_Chart!L53</f>
        <v>2.8205732897981352E-8</v>
      </c>
    </row>
    <row r="47" spans="1:24">
      <c r="A47" s="39">
        <f ca="1">总资产摘要!B9/Kutools_Chart!A53</f>
        <v>5.9168245600251048E-7</v>
      </c>
      <c r="B47" s="39">
        <f ca="1">总资产摘要!C9/Kutools_Chart!B53</f>
        <v>2.7102917434383273E-2</v>
      </c>
      <c r="C47" s="39">
        <f ca="1">总资产摘要!D9/Kutools_Chart!C53</f>
        <v>3.689649628978017E-8</v>
      </c>
      <c r="D47" s="39">
        <f ca="1">总资产摘要!E9/Kutools_Chart!D53</f>
        <v>7.2675692916016518E-8</v>
      </c>
      <c r="E47" s="39">
        <f ca="1">总资产摘要!F9/Kutools_Chart!E53</f>
        <v>1.8209819307410495E-6</v>
      </c>
      <c r="F47" s="39">
        <f ca="1">总资产摘要!G9/Kutools_Chart!F53</f>
        <v>1.0678074082945193E-3</v>
      </c>
      <c r="G47" s="39">
        <f ca="1">总资产摘要!H9/Kutools_Chart!G53</f>
        <v>1.5468681501043389E-4</v>
      </c>
      <c r="H47" s="39">
        <f ca="1">总资产摘要!I9/Kutools_Chart!H53</f>
        <v>6.4004604451117232E-6</v>
      </c>
      <c r="I47" s="39">
        <f ca="1">总资产摘要!J9/Kutools_Chart!I53</f>
        <v>3.1672471376558014E-6</v>
      </c>
      <c r="J47" s="39">
        <f ca="1">总资产摘要!K9/Kutools_Chart!J53</f>
        <v>3.6362981450530448E-6</v>
      </c>
      <c r="K47" s="39">
        <f ca="1">总资产摘要!L9/Kutools_Chart!K53</f>
        <v>4.6706460210212646E-7</v>
      </c>
      <c r="L47" s="39">
        <f ca="1">总资产摘要!M9/Kutools_Chart!L53</f>
        <v>1.9538169946785381E-4</v>
      </c>
    </row>
    <row r="48" spans="1:24">
      <c r="A48" s="39">
        <f ca="1">总资产摘要!B10/Kutools_Chart!A53</f>
        <v>3.9897148008249277E-4</v>
      </c>
      <c r="B48" s="39">
        <f ca="1">总资产摘要!C10/Kutools_Chart!B53</f>
        <v>2.3274839057496185E-3</v>
      </c>
      <c r="C48" s="39">
        <f ca="1">总资产摘要!D10/Kutools_Chart!C53</f>
        <v>1.3541014138349323E-5</v>
      </c>
      <c r="D48" s="39">
        <f ca="1">总资产摘要!E10/Kutools_Chart!D53</f>
        <v>3.4520954135107843E-6</v>
      </c>
      <c r="E48" s="39">
        <f ca="1">总资产摘要!F10/Kutools_Chart!E53</f>
        <v>1.7334347225323452E-5</v>
      </c>
      <c r="F48" s="39">
        <f ca="1">总资产摘要!G10/Kutools_Chart!F53</f>
        <v>4.4160281360007027E-3</v>
      </c>
      <c r="G48" s="39">
        <f ca="1">总资产摘要!H10/Kutools_Chart!G53</f>
        <v>9.7385553927926782E-6</v>
      </c>
      <c r="H48" s="39">
        <f ca="1">总资产摘要!I10/Kutools_Chart!H53</f>
        <v>1.9429969208374873E-5</v>
      </c>
      <c r="I48" s="39">
        <f ca="1">总资产摘要!J10/Kutools_Chart!I53</f>
        <v>6.5984315367829196E-6</v>
      </c>
      <c r="J48" s="39">
        <f ca="1">总资产摘要!K10/Kutools_Chart!J53</f>
        <v>5.0886040042033608E-4</v>
      </c>
      <c r="K48" s="39">
        <f ca="1">总资产摘要!L10/Kutools_Chart!K53</f>
        <v>2.8023876126127589E-6</v>
      </c>
      <c r="L48" s="39">
        <f ca="1">总资产摘要!M10/Kutools_Chart!L53</f>
        <v>3.2614897863925206E-6</v>
      </c>
    </row>
    <row r="49" spans="1:12">
      <c r="A49" s="39">
        <f ca="1">总资产摘要!B11/Kutools_Chart!A53</f>
        <v>0.12218009001881719</v>
      </c>
      <c r="B49" s="39">
        <f ca="1">总资产摘要!C11/Kutools_Chart!B53</f>
        <v>0.11452727671409102</v>
      </c>
      <c r="C49" s="39">
        <f ca="1">总资产摘要!D11/Kutools_Chart!C53</f>
        <v>0.10126101355219454</v>
      </c>
      <c r="D49" s="39">
        <f ca="1">总资产摘要!E11/Kutools_Chart!D53</f>
        <v>0.25440942089904561</v>
      </c>
      <c r="E49" s="39">
        <f ca="1">总资产摘要!F11/Kutools_Chart!E53</f>
        <v>0.24565158306123266</v>
      </c>
      <c r="F49" s="39">
        <f ca="1">总资产摘要!G11/Kutools_Chart!F53</f>
        <v>7.2139081087412252E-2</v>
      </c>
      <c r="G49" s="39">
        <f ca="1">总资产摘要!H11/Kutools_Chart!G53</f>
        <v>6.9575064904296532E-2</v>
      </c>
      <c r="H49" s="39">
        <f ca="1">总资产摘要!I11/Kutools_Chart!H53</f>
        <v>6.8814125955283051E-2</v>
      </c>
      <c r="I49" s="39">
        <f ca="1">总资产摘要!J11/Kutools_Chart!I53</f>
        <v>6.8958690351664839E-2</v>
      </c>
      <c r="J49" s="39">
        <f ca="1">总资产摘要!K11/Kutools_Chart!J53</f>
        <v>6.8884451060691382E-2</v>
      </c>
      <c r="K49" s="39">
        <f ca="1">总资产摘要!L11/Kutools_Chart!K53</f>
        <v>7.0010181467496144E-2</v>
      </c>
      <c r="L49" s="39">
        <f ca="1">总资产摘要!M11/Kutools_Chart!L53</f>
        <v>8.1280940792637077E-2</v>
      </c>
    </row>
    <row r="50" spans="1:12">
      <c r="A50" s="39">
        <f ca="1">总资产摘要!B12/Kutools_Chart!A53</f>
        <v>0.13782846385332959</v>
      </c>
      <c r="B50" s="39">
        <f ca="1">总资产摘要!C12/Kutools_Chart!B53</f>
        <v>0.13108919443448375</v>
      </c>
      <c r="C50" s="39">
        <f ca="1">总资产摘要!D12/Kutools_Chart!C53</f>
        <v>8.9042480530359791E-2</v>
      </c>
      <c r="D50" s="39">
        <f ca="1">总资产摘要!E12/Kutools_Chart!D53</f>
        <v>8.8394845719284326E-2</v>
      </c>
      <c r="E50" s="39">
        <f ca="1">总资产摘要!F12/Kutools_Chart!E53</f>
        <v>8.7257164307908863E-2</v>
      </c>
      <c r="F50" s="39">
        <f ca="1">总资产摘要!G12/Kutools_Chart!F53</f>
        <v>2.9134543812419873E-2</v>
      </c>
      <c r="G50" s="39">
        <f ca="1">总资产摘要!H12/Kutools_Chart!G53</f>
        <v>4.8474473783690832E-2</v>
      </c>
      <c r="H50" s="39">
        <f ca="1">总资产摘要!I12/Kutools_Chart!H53</f>
        <v>4.8903338483674369E-2</v>
      </c>
      <c r="I50" s="39">
        <f ca="1">总资产摘要!J12/Kutools_Chart!I53</f>
        <v>7.5440725556138899E-2</v>
      </c>
      <c r="J50" s="39">
        <f ca="1">总资产摘要!K12/Kutools_Chart!J53</f>
        <v>0.13723499869373737</v>
      </c>
      <c r="K50" s="39">
        <f ca="1">总资产摘要!L12/Kutools_Chart!K53</f>
        <v>0.14446510537679683</v>
      </c>
      <c r="L50" s="39">
        <f ca="1">总资产摘要!M12/Kutools_Chart!L53</f>
        <v>0.13886078915141753</v>
      </c>
    </row>
    <row r="51" spans="1:12">
      <c r="A51" s="39">
        <f ca="1">总资产摘要!B13/Kutools_Chart!A53</f>
        <v>2.617034992692607E-2</v>
      </c>
      <c r="B51" s="39">
        <f ca="1">总资产摘要!C13/Kutools_Chart!B53</f>
        <v>2.02340699107382E-2</v>
      </c>
      <c r="C51" s="39">
        <f ca="1">总资产摘要!D13/Kutools_Chart!C53</f>
        <v>1.4473443944336504E-2</v>
      </c>
      <c r="D51" s="39">
        <f ca="1">总资产摘要!E13/Kutools_Chart!D53</f>
        <v>1.4513608409176933E-2</v>
      </c>
      <c r="E51" s="39">
        <f ca="1">总资产摘要!F13/Kutools_Chart!E53</f>
        <v>1.4569921560042122E-2</v>
      </c>
      <c r="F51" s="39">
        <f ca="1">总资产摘要!G13/Kutools_Chart!F53</f>
        <v>3.1306703340072253E-2</v>
      </c>
      <c r="G51" s="39">
        <f ca="1">总资产摘要!H13/Kutools_Chart!G53</f>
        <v>3.0258447756038892E-2</v>
      </c>
      <c r="H51" s="39">
        <f ca="1">总资产摘要!I13/Kutools_Chart!H53</f>
        <v>2.9814355111729245E-2</v>
      </c>
      <c r="I51" s="39">
        <f ca="1">总资产摘要!J13/Kutools_Chart!I53</f>
        <v>2.9570416960002927E-2</v>
      </c>
      <c r="J51" s="39">
        <f ca="1">总资产摘要!K13/Kutools_Chart!J53</f>
        <v>2.779749397955349E-2</v>
      </c>
      <c r="K51" s="39">
        <f ca="1">总资产摘要!L13/Kutools_Chart!K53</f>
        <v>2.7899909707696055E-2</v>
      </c>
      <c r="L51" s="39">
        <f ca="1">总资产摘要!M13/Kutools_Chart!L53</f>
        <v>2.6597514437826732E-2</v>
      </c>
    </row>
    <row r="52" spans="1:12">
      <c r="A52" s="39" t="e">
        <f ca="1">总资产摘要!#REF!/Kutools_Chart!A53</f>
        <v>#REF!</v>
      </c>
      <c r="B52" s="39" t="e">
        <f ca="1">总资产摘要!#REF!/Kutools_Chart!B53</f>
        <v>#REF!</v>
      </c>
      <c r="C52" s="39" t="e">
        <f ca="1">总资产摘要!#REF!/Kutools_Chart!C53</f>
        <v>#REF!</v>
      </c>
      <c r="D52" s="39" t="e">
        <f ca="1">总资产摘要!#REF!/Kutools_Chart!D53</f>
        <v>#REF!</v>
      </c>
      <c r="E52" s="39" t="e">
        <f ca="1">总资产摘要!#REF!/Kutools_Chart!E53</f>
        <v>#REF!</v>
      </c>
      <c r="F52" s="39" t="e">
        <f ca="1">总资产摘要!#REF!/Kutools_Chart!F53</f>
        <v>#REF!</v>
      </c>
      <c r="G52" s="39" t="e">
        <f ca="1">总资产摘要!#REF!/Kutools_Chart!G53</f>
        <v>#REF!</v>
      </c>
      <c r="H52" s="39" t="e">
        <f ca="1">总资产摘要!#REF!/Kutools_Chart!H53</f>
        <v>#REF!</v>
      </c>
      <c r="I52" s="39" t="e">
        <f ca="1">总资产摘要!#REF!/Kutools_Chart!I53</f>
        <v>#REF!</v>
      </c>
      <c r="J52" s="39" t="e">
        <f ca="1">总资产摘要!#REF!/Kutools_Chart!J53</f>
        <v>#REF!</v>
      </c>
      <c r="K52" s="39" t="e">
        <f ca="1">总资产摘要!#REF!/Kutools_Chart!K53</f>
        <v>#REF!</v>
      </c>
      <c r="L52" s="39" t="e">
        <f ca="1">总资产摘要!#REF!/Kutools_Chart!L53</f>
        <v>#REF!</v>
      </c>
    </row>
    <row r="53" spans="1:12">
      <c r="A53" s="40">
        <f ca="1" xml:space="preserve"> SUBTOTAL(109,总资产摘要!B5:B13)</f>
        <v>338019.148567</v>
      </c>
      <c r="B53" s="40">
        <f ca="1" xml:space="preserve"> SUBTOTAL(109,总资产摘要!C5:C13)</f>
        <v>372165.83876700007</v>
      </c>
      <c r="C53" s="40">
        <f ca="1" xml:space="preserve"> SUBTOTAL(109,总资产摘要!D5:D13)</f>
        <v>542056.88916700007</v>
      </c>
      <c r="D53" s="40">
        <f ca="1" xml:space="preserve"> SUBTOTAL(109,总资产摘要!E5:E13)</f>
        <v>550390.34916700004</v>
      </c>
      <c r="E53" s="40">
        <f ca="1" xml:space="preserve"> SUBTOTAL(109,总资产摘要!F5:F13)</f>
        <v>571120.43916700012</v>
      </c>
      <c r="F53" s="40">
        <f ca="1" xml:space="preserve"> SUBTOTAL(109,总资产摘要!G5:G13)</f>
        <v>291232.29299999995</v>
      </c>
      <c r="G53" s="40">
        <f ca="1" xml:space="preserve"> SUBTOTAL(109,总资产摘要!H5:H13)</f>
        <v>300865.978764</v>
      </c>
      <c r="H53" s="40">
        <f ca="1" xml:space="preserve"> SUBTOTAL(109,总资产摘要!I5:I13)</f>
        <v>306227.96856700006</v>
      </c>
      <c r="I53" s="40">
        <f ca="1" xml:space="preserve"> SUBTOTAL(109,总资产摘要!J5:J13)</f>
        <v>303102.33406999998</v>
      </c>
      <c r="J53" s="40">
        <f ca="1" xml:space="preserve"> SUBTOTAL(109,总资产摘要!K5:K13)</f>
        <v>316255.69579999999</v>
      </c>
      <c r="K53" s="40">
        <f ca="1" xml:space="preserve"> SUBTOTAL(109,总资产摘要!L5:L13)</f>
        <v>321154.71676700003</v>
      </c>
      <c r="L53" s="40">
        <f ca="1" xml:space="preserve"> SUBTOTAL(109,总资产摘要!M5:M13)</f>
        <v>325004.85036700004</v>
      </c>
    </row>
    <row r="54" spans="1:12">
      <c r="A54" t="s">
        <v>65</v>
      </c>
    </row>
    <row r="56" spans="1:12">
      <c r="A56" s="40">
        <v>0.25130758477704307</v>
      </c>
      <c r="B56" s="40">
        <v>0.1570672404856519</v>
      </c>
      <c r="C56" s="40">
        <v>1.5706724048565192E-5</v>
      </c>
      <c r="D56" s="40">
        <v>0.10994706833995634</v>
      </c>
      <c r="E56" s="40">
        <v>0.1570672404856519</v>
      </c>
      <c r="F56" s="40">
        <v>4.1874126313474799E-2</v>
      </c>
    </row>
    <row r="57" spans="1:12">
      <c r="A57" s="40" t="e">
        <f>IF(((ROW(Kutools_Chart!A57)-56)/100)&lt;=(投资收益表!$B$17+投资收益表!$B$18+投资收益表!$B$19+投资收益表!$B$20+投资收益表!$B$21+投资收益表!$B$22),(MOD((ROW(Kutools_Chart!A57)- 57),10)+1),NA())</f>
        <v>#VALUE!</v>
      </c>
      <c r="B57" s="40" t="e">
        <f>IF(((ROW(Kutools_Chart!B57)-56)/100)&lt;=(投资收益表!$B$18+投资收益表!$B$19+投资收益表!$B$20+投资收益表!$B$21+投资收益表!$B$22),(MOD((ROW(Kutools_Chart!B57)- 57),10)+1),NA())</f>
        <v>#VALUE!</v>
      </c>
      <c r="C57" s="40" t="e">
        <f>IF(((ROW(Kutools_Chart!C57)-56)/100)&lt;=(投资收益表!$B$19+投资收益表!$B$20+投资收益表!$B$21+投资收益表!$B$22),(MOD((ROW(Kutools_Chart!C57)- 57),10)+1),NA())</f>
        <v>#VALUE!</v>
      </c>
      <c r="D57" s="40" t="e">
        <f>IF(((ROW(Kutools_Chart!D57)-56)/100)&lt;=(投资收益表!$B$20+投资收益表!$B$21+投资收益表!$B$22),(MOD((ROW(Kutools_Chart!D57)- 57),10)+1),NA())</f>
        <v>#VALUE!</v>
      </c>
      <c r="E57" s="40" t="e">
        <f>IF(((ROW(Kutools_Chart!E57)-56)/100)&lt;=(投资收益表!$B$21+投资收益表!$B$22),(MOD((ROW(Kutools_Chart!E57)- 57),10)+1),NA())</f>
        <v>#VALUE!</v>
      </c>
      <c r="F57" s="40">
        <f>IF(((ROW(Kutools_Chart!F57)-56)/100)&lt;=(投资收益表!$B$22),(MOD((ROW(Kutools_Chart!F57)- 57),10)+1),NA())</f>
        <v>1</v>
      </c>
    </row>
    <row r="58" spans="1:12">
      <c r="A58" s="40" t="e">
        <f>IF(((ROW(Kutools_Chart!A58)-56)/100)&lt;=(投资收益表!$B$17+投资收益表!$B$18+投资收益表!$B$19+投资收益表!$B$20+投资收益表!$B$21+投资收益表!$B$22),(MOD((ROW(Kutools_Chart!A58)- 57),10)+1),NA())</f>
        <v>#VALUE!</v>
      </c>
      <c r="B58" s="40" t="e">
        <f>IF(((ROW(Kutools_Chart!B58)-56)/100)&lt;=(投资收益表!$B$18+投资收益表!$B$19+投资收益表!$B$20+投资收益表!$B$21+投资收益表!$B$22),(MOD((ROW(Kutools_Chart!B58)- 57),10)+1),NA())</f>
        <v>#VALUE!</v>
      </c>
      <c r="C58" s="40" t="e">
        <f>IF(((ROW(Kutools_Chart!C58)-56)/100)&lt;=(投资收益表!$B$19+投资收益表!$B$20+投资收益表!$B$21+投资收益表!$B$22),(MOD((ROW(Kutools_Chart!C58)- 57),10)+1),NA())</f>
        <v>#VALUE!</v>
      </c>
      <c r="D58" s="40" t="e">
        <f>IF(((ROW(Kutools_Chart!D58)-56)/100)&lt;=(投资收益表!$B$20+投资收益表!$B$21+投资收益表!$B$22),(MOD((ROW(Kutools_Chart!D58)- 57),10)+1),NA())</f>
        <v>#VALUE!</v>
      </c>
      <c r="E58" s="40" t="e">
        <f>IF(((ROW(Kutools_Chart!E58)-56)/100)&lt;=(投资收益表!$B$21+投资收益表!$B$22),(MOD((ROW(Kutools_Chart!E58)- 57),10)+1),NA())</f>
        <v>#VALUE!</v>
      </c>
      <c r="F58" s="40">
        <f>IF(((ROW(Kutools_Chart!F58)-56)/100)&lt;=(投资收益表!$B$22),(MOD((ROW(Kutools_Chart!F58)- 57),10)+1),NA())</f>
        <v>2</v>
      </c>
    </row>
    <row r="59" spans="1:12">
      <c r="A59" s="40" t="e">
        <f>IF(((ROW(Kutools_Chart!A59)-56)/100)&lt;=(投资收益表!$B$17+投资收益表!$B$18+投资收益表!$B$19+投资收益表!$B$20+投资收益表!$B$21+投资收益表!$B$22),(MOD((ROW(Kutools_Chart!A59)- 57),10)+1),NA())</f>
        <v>#VALUE!</v>
      </c>
      <c r="B59" s="40" t="e">
        <f>IF(((ROW(Kutools_Chart!B59)-56)/100)&lt;=(投资收益表!$B$18+投资收益表!$B$19+投资收益表!$B$20+投资收益表!$B$21+投资收益表!$B$22),(MOD((ROW(Kutools_Chart!B59)- 57),10)+1),NA())</f>
        <v>#VALUE!</v>
      </c>
      <c r="C59" s="40" t="e">
        <f>IF(((ROW(Kutools_Chart!C59)-56)/100)&lt;=(投资收益表!$B$19+投资收益表!$B$20+投资收益表!$B$21+投资收益表!$B$22),(MOD((ROW(Kutools_Chart!C59)- 57),10)+1),NA())</f>
        <v>#VALUE!</v>
      </c>
      <c r="D59" s="40" t="e">
        <f>IF(((ROW(Kutools_Chart!D59)-56)/100)&lt;=(投资收益表!$B$20+投资收益表!$B$21+投资收益表!$B$22),(MOD((ROW(Kutools_Chart!D59)- 57),10)+1),NA())</f>
        <v>#VALUE!</v>
      </c>
      <c r="E59" s="40" t="e">
        <f>IF(((ROW(Kutools_Chart!E59)-56)/100)&lt;=(投资收益表!$B$21+投资收益表!$B$22),(MOD((ROW(Kutools_Chart!E59)- 57),10)+1),NA())</f>
        <v>#VALUE!</v>
      </c>
      <c r="F59" s="40">
        <f>IF(((ROW(Kutools_Chart!F59)-56)/100)&lt;=(投资收益表!$B$22),(MOD((ROW(Kutools_Chart!F59)- 57),10)+1),NA())</f>
        <v>3</v>
      </c>
    </row>
    <row r="60" spans="1:12">
      <c r="A60" s="40" t="e">
        <f>IF(((ROW(Kutools_Chart!A60)-56)/100)&lt;=(投资收益表!$B$17+投资收益表!$B$18+投资收益表!$B$19+投资收益表!$B$20+投资收益表!$B$21+投资收益表!$B$22),(MOD((ROW(Kutools_Chart!A60)- 57),10)+1),NA())</f>
        <v>#VALUE!</v>
      </c>
      <c r="B60" s="40" t="e">
        <f>IF(((ROW(Kutools_Chart!B60)-56)/100)&lt;=(投资收益表!$B$18+投资收益表!$B$19+投资收益表!$B$20+投资收益表!$B$21+投资收益表!$B$22),(MOD((ROW(Kutools_Chart!B60)- 57),10)+1),NA())</f>
        <v>#VALUE!</v>
      </c>
      <c r="C60" s="40" t="e">
        <f>IF(((ROW(Kutools_Chart!C60)-56)/100)&lt;=(投资收益表!$B$19+投资收益表!$B$20+投资收益表!$B$21+投资收益表!$B$22),(MOD((ROW(Kutools_Chart!C60)- 57),10)+1),NA())</f>
        <v>#VALUE!</v>
      </c>
      <c r="D60" s="40" t="e">
        <f>IF(((ROW(Kutools_Chart!D60)-56)/100)&lt;=(投资收益表!$B$20+投资收益表!$B$21+投资收益表!$B$22),(MOD((ROW(Kutools_Chart!D60)- 57),10)+1),NA())</f>
        <v>#VALUE!</v>
      </c>
      <c r="E60" s="40" t="e">
        <f>IF(((ROW(Kutools_Chart!E60)-56)/100)&lt;=(投资收益表!$B$21+投资收益表!$B$22),(MOD((ROW(Kutools_Chart!E60)- 57),10)+1),NA())</f>
        <v>#VALUE!</v>
      </c>
      <c r="F60" s="40">
        <f>IF(((ROW(Kutools_Chart!F60)-56)/100)&lt;=(投资收益表!$B$22),(MOD((ROW(Kutools_Chart!F60)- 57),10)+1),NA())</f>
        <v>4</v>
      </c>
    </row>
    <row r="61" spans="1:12">
      <c r="A61" s="40" t="e">
        <f>IF(((ROW(Kutools_Chart!A61)-56)/100)&lt;=(投资收益表!$B$17+投资收益表!$B$18+投资收益表!$B$19+投资收益表!$B$20+投资收益表!$B$21+投资收益表!$B$22),(MOD((ROW(Kutools_Chart!A61)- 57),10)+1),NA())</f>
        <v>#VALUE!</v>
      </c>
      <c r="B61" s="40" t="e">
        <f>IF(((ROW(Kutools_Chart!B61)-56)/100)&lt;=(投资收益表!$B$18+投资收益表!$B$19+投资收益表!$B$20+投资收益表!$B$21+投资收益表!$B$22),(MOD((ROW(Kutools_Chart!B61)- 57),10)+1),NA())</f>
        <v>#VALUE!</v>
      </c>
      <c r="C61" s="40" t="e">
        <f>IF(((ROW(Kutools_Chart!C61)-56)/100)&lt;=(投资收益表!$B$19+投资收益表!$B$20+投资收益表!$B$21+投资收益表!$B$22),(MOD((ROW(Kutools_Chart!C61)- 57),10)+1),NA())</f>
        <v>#VALUE!</v>
      </c>
      <c r="D61" s="40" t="e">
        <f>IF(((ROW(Kutools_Chart!D61)-56)/100)&lt;=(投资收益表!$B$20+投资收益表!$B$21+投资收益表!$B$22),(MOD((ROW(Kutools_Chart!D61)- 57),10)+1),NA())</f>
        <v>#VALUE!</v>
      </c>
      <c r="E61" s="40" t="e">
        <f>IF(((ROW(Kutools_Chart!E61)-56)/100)&lt;=(投资收益表!$B$21+投资收益表!$B$22),(MOD((ROW(Kutools_Chart!E61)- 57),10)+1),NA())</f>
        <v>#VALUE!</v>
      </c>
      <c r="F61" s="40">
        <f>IF(((ROW(Kutools_Chart!F61)-56)/100)&lt;=(投资收益表!$B$22),(MOD((ROW(Kutools_Chart!F61)- 57),10)+1),NA())</f>
        <v>5</v>
      </c>
    </row>
    <row r="62" spans="1:12">
      <c r="A62" s="40" t="e">
        <f>IF(((ROW(Kutools_Chart!A62)-56)/100)&lt;=(投资收益表!$B$17+投资收益表!$B$18+投资收益表!$B$19+投资收益表!$B$20+投资收益表!$B$21+投资收益表!$B$22),(MOD((ROW(Kutools_Chart!A62)- 57),10)+1),NA())</f>
        <v>#VALUE!</v>
      </c>
      <c r="B62" s="40" t="e">
        <f>IF(((ROW(Kutools_Chart!B62)-56)/100)&lt;=(投资收益表!$B$18+投资收益表!$B$19+投资收益表!$B$20+投资收益表!$B$21+投资收益表!$B$22),(MOD((ROW(Kutools_Chart!B62)- 57),10)+1),NA())</f>
        <v>#VALUE!</v>
      </c>
      <c r="C62" s="40" t="e">
        <f>IF(((ROW(Kutools_Chart!C62)-56)/100)&lt;=(投资收益表!$B$19+投资收益表!$B$20+投资收益表!$B$21+投资收益表!$B$22),(MOD((ROW(Kutools_Chart!C62)- 57),10)+1),NA())</f>
        <v>#VALUE!</v>
      </c>
      <c r="D62" s="40" t="e">
        <f>IF(((ROW(Kutools_Chart!D62)-56)/100)&lt;=(投资收益表!$B$20+投资收益表!$B$21+投资收益表!$B$22),(MOD((ROW(Kutools_Chart!D62)- 57),10)+1),NA())</f>
        <v>#VALUE!</v>
      </c>
      <c r="E62" s="40" t="e">
        <f>IF(((ROW(Kutools_Chart!E62)-56)/100)&lt;=(投资收益表!$B$21+投资收益表!$B$22),(MOD((ROW(Kutools_Chart!E62)- 57),10)+1),NA())</f>
        <v>#VALUE!</v>
      </c>
      <c r="F62" s="40">
        <f>IF(((ROW(Kutools_Chart!F62)-56)/100)&lt;=(投资收益表!$B$22),(MOD((ROW(Kutools_Chart!F62)- 57),10)+1),NA())</f>
        <v>6</v>
      </c>
    </row>
    <row r="63" spans="1:12">
      <c r="A63" s="40" t="e">
        <f>IF(((ROW(Kutools_Chart!A63)-56)/100)&lt;=(投资收益表!$B$17+投资收益表!$B$18+投资收益表!$B$19+投资收益表!$B$20+投资收益表!$B$21+投资收益表!$B$22),(MOD((ROW(Kutools_Chart!A63)- 57),10)+1),NA())</f>
        <v>#VALUE!</v>
      </c>
      <c r="B63" s="40" t="e">
        <f>IF(((ROW(Kutools_Chart!B63)-56)/100)&lt;=(投资收益表!$B$18+投资收益表!$B$19+投资收益表!$B$20+投资收益表!$B$21+投资收益表!$B$22),(MOD((ROW(Kutools_Chart!B63)- 57),10)+1),NA())</f>
        <v>#VALUE!</v>
      </c>
      <c r="C63" s="40" t="e">
        <f>IF(((ROW(Kutools_Chart!C63)-56)/100)&lt;=(投资收益表!$B$19+投资收益表!$B$20+投资收益表!$B$21+投资收益表!$B$22),(MOD((ROW(Kutools_Chart!C63)- 57),10)+1),NA())</f>
        <v>#VALUE!</v>
      </c>
      <c r="D63" s="40" t="e">
        <f>IF(((ROW(Kutools_Chart!D63)-56)/100)&lt;=(投资收益表!$B$20+投资收益表!$B$21+投资收益表!$B$22),(MOD((ROW(Kutools_Chart!D63)- 57),10)+1),NA())</f>
        <v>#VALUE!</v>
      </c>
      <c r="E63" s="40" t="e">
        <f>IF(((ROW(Kutools_Chart!E63)-56)/100)&lt;=(投资收益表!$B$21+投资收益表!$B$22),(MOD((ROW(Kutools_Chart!E63)- 57),10)+1),NA())</f>
        <v>#VALUE!</v>
      </c>
      <c r="F63" s="40">
        <f>IF(((ROW(Kutools_Chart!F63)-56)/100)&lt;=(投资收益表!$B$22),(MOD((ROW(Kutools_Chart!F63)- 57),10)+1),NA())</f>
        <v>7</v>
      </c>
    </row>
    <row r="64" spans="1:12">
      <c r="A64" s="40" t="e">
        <f>IF(((ROW(Kutools_Chart!A64)-56)/100)&lt;=(投资收益表!$B$17+投资收益表!$B$18+投资收益表!$B$19+投资收益表!$B$20+投资收益表!$B$21+投资收益表!$B$22),(MOD((ROW(Kutools_Chart!A64)- 57),10)+1),NA())</f>
        <v>#VALUE!</v>
      </c>
      <c r="B64" s="40" t="e">
        <f>IF(((ROW(Kutools_Chart!B64)-56)/100)&lt;=(投资收益表!$B$18+投资收益表!$B$19+投资收益表!$B$20+投资收益表!$B$21+投资收益表!$B$22),(MOD((ROW(Kutools_Chart!B64)- 57),10)+1),NA())</f>
        <v>#VALUE!</v>
      </c>
      <c r="C64" s="40" t="e">
        <f>IF(((ROW(Kutools_Chart!C64)-56)/100)&lt;=(投资收益表!$B$19+投资收益表!$B$20+投资收益表!$B$21+投资收益表!$B$22),(MOD((ROW(Kutools_Chart!C64)- 57),10)+1),NA())</f>
        <v>#VALUE!</v>
      </c>
      <c r="D64" s="40" t="e">
        <f>IF(((ROW(Kutools_Chart!D64)-56)/100)&lt;=(投资收益表!$B$20+投资收益表!$B$21+投资收益表!$B$22),(MOD((ROW(Kutools_Chart!D64)- 57),10)+1),NA())</f>
        <v>#VALUE!</v>
      </c>
      <c r="E64" s="40" t="e">
        <f>IF(((ROW(Kutools_Chart!E64)-56)/100)&lt;=(投资收益表!$B$21+投资收益表!$B$22),(MOD((ROW(Kutools_Chart!E64)- 57),10)+1),NA())</f>
        <v>#VALUE!</v>
      </c>
      <c r="F64" s="40">
        <f>IF(((ROW(Kutools_Chart!F64)-56)/100)&lt;=(投资收益表!$B$22),(MOD((ROW(Kutools_Chart!F64)- 57),10)+1),NA())</f>
        <v>8</v>
      </c>
    </row>
    <row r="65" spans="1:6">
      <c r="A65" s="40" t="e">
        <f>IF(((ROW(Kutools_Chart!A65)-56)/100)&lt;=(投资收益表!$B$17+投资收益表!$B$18+投资收益表!$B$19+投资收益表!$B$20+投资收益表!$B$21+投资收益表!$B$22),(MOD((ROW(Kutools_Chart!A65)- 57),10)+1),NA())</f>
        <v>#VALUE!</v>
      </c>
      <c r="B65" s="40" t="e">
        <f>IF(((ROW(Kutools_Chart!B65)-56)/100)&lt;=(投资收益表!$B$18+投资收益表!$B$19+投资收益表!$B$20+投资收益表!$B$21+投资收益表!$B$22),(MOD((ROW(Kutools_Chart!B65)- 57),10)+1),NA())</f>
        <v>#VALUE!</v>
      </c>
      <c r="C65" s="40" t="e">
        <f>IF(((ROW(Kutools_Chart!C65)-56)/100)&lt;=(投资收益表!$B$19+投资收益表!$B$20+投资收益表!$B$21+投资收益表!$B$22),(MOD((ROW(Kutools_Chart!C65)- 57),10)+1),NA())</f>
        <v>#VALUE!</v>
      </c>
      <c r="D65" s="40" t="e">
        <f>IF(((ROW(Kutools_Chart!D65)-56)/100)&lt;=(投资收益表!$B$20+投资收益表!$B$21+投资收益表!$B$22),(MOD((ROW(Kutools_Chart!D65)- 57),10)+1),NA())</f>
        <v>#VALUE!</v>
      </c>
      <c r="E65" s="40" t="e">
        <f>IF(((ROW(Kutools_Chart!E65)-56)/100)&lt;=(投资收益表!$B$21+投资收益表!$B$22),(MOD((ROW(Kutools_Chart!E65)- 57),10)+1),NA())</f>
        <v>#VALUE!</v>
      </c>
      <c r="F65" s="40">
        <f>IF(((ROW(Kutools_Chart!F65)-56)/100)&lt;=(投资收益表!$B$22),(MOD((ROW(Kutools_Chart!F65)- 57),10)+1),NA())</f>
        <v>9</v>
      </c>
    </row>
    <row r="66" spans="1:6">
      <c r="A66" s="40" t="e">
        <f>IF(((ROW(Kutools_Chart!A66)-56)/100)&lt;=(投资收益表!$B$17+投资收益表!$B$18+投资收益表!$B$19+投资收益表!$B$20+投资收益表!$B$21+投资收益表!$B$22),(MOD((ROW(Kutools_Chart!A66)- 57),10)+1),NA())</f>
        <v>#VALUE!</v>
      </c>
      <c r="B66" s="40" t="e">
        <f>IF(((ROW(Kutools_Chart!B66)-56)/100)&lt;=(投资收益表!$B$18+投资收益表!$B$19+投资收益表!$B$20+投资收益表!$B$21+投资收益表!$B$22),(MOD((ROW(Kutools_Chart!B66)- 57),10)+1),NA())</f>
        <v>#VALUE!</v>
      </c>
      <c r="C66" s="40" t="e">
        <f>IF(((ROW(Kutools_Chart!C66)-56)/100)&lt;=(投资收益表!$B$19+投资收益表!$B$20+投资收益表!$B$21+投资收益表!$B$22),(MOD((ROW(Kutools_Chart!C66)- 57),10)+1),NA())</f>
        <v>#VALUE!</v>
      </c>
      <c r="D66" s="40" t="e">
        <f>IF(((ROW(Kutools_Chart!D66)-56)/100)&lt;=(投资收益表!$B$20+投资收益表!$B$21+投资收益表!$B$22),(MOD((ROW(Kutools_Chart!D66)- 57),10)+1),NA())</f>
        <v>#VALUE!</v>
      </c>
      <c r="E66" s="40" t="e">
        <f>IF(((ROW(Kutools_Chart!E66)-56)/100)&lt;=(投资收益表!$B$21+投资收益表!$B$22),(MOD((ROW(Kutools_Chart!E66)- 57),10)+1),NA())</f>
        <v>#VALUE!</v>
      </c>
      <c r="F66" s="40">
        <f>IF(((ROW(Kutools_Chart!F66)-56)/100)&lt;=(投资收益表!$B$22),(MOD((ROW(Kutools_Chart!F66)- 57),10)+1),NA())</f>
        <v>10</v>
      </c>
    </row>
    <row r="67" spans="1:6">
      <c r="A67" s="40" t="e">
        <f>IF(((ROW(Kutools_Chart!A67)-56)/100)&lt;=(投资收益表!$B$17+投资收益表!$B$18+投资收益表!$B$19+投资收益表!$B$20+投资收益表!$B$21+投资收益表!$B$22),(MOD((ROW(Kutools_Chart!A67)- 57),10)+1),NA())</f>
        <v>#VALUE!</v>
      </c>
      <c r="B67" s="40" t="e">
        <f>IF(((ROW(Kutools_Chart!B67)-56)/100)&lt;=(投资收益表!$B$18+投资收益表!$B$19+投资收益表!$B$20+投资收益表!$B$21+投资收益表!$B$22),(MOD((ROW(Kutools_Chart!B67)- 57),10)+1),NA())</f>
        <v>#VALUE!</v>
      </c>
      <c r="C67" s="40" t="e">
        <f>IF(((ROW(Kutools_Chart!C67)-56)/100)&lt;=(投资收益表!$B$19+投资收益表!$B$20+投资收益表!$B$21+投资收益表!$B$22),(MOD((ROW(Kutools_Chart!C67)- 57),10)+1),NA())</f>
        <v>#VALUE!</v>
      </c>
      <c r="D67" s="40" t="e">
        <f>IF(((ROW(Kutools_Chart!D67)-56)/100)&lt;=(投资收益表!$B$20+投资收益表!$B$21+投资收益表!$B$22),(MOD((ROW(Kutools_Chart!D67)- 57),10)+1),NA())</f>
        <v>#VALUE!</v>
      </c>
      <c r="E67" s="40" t="e">
        <f>IF(((ROW(Kutools_Chart!E67)-56)/100)&lt;=(投资收益表!$B$21+投资收益表!$B$22),(MOD((ROW(Kutools_Chart!E67)- 57),10)+1),NA())</f>
        <v>#VALUE!</v>
      </c>
      <c r="F67" s="40">
        <f>IF(((ROW(Kutools_Chart!F67)-56)/100)&lt;=(投资收益表!$B$22),(MOD((ROW(Kutools_Chart!F67)- 57),10)+1),NA())</f>
        <v>1</v>
      </c>
    </row>
    <row r="68" spans="1:6">
      <c r="A68" s="40" t="e">
        <f>IF(((ROW(Kutools_Chart!A68)-56)/100)&lt;=(投资收益表!$B$17+投资收益表!$B$18+投资收益表!$B$19+投资收益表!$B$20+投资收益表!$B$21+投资收益表!$B$22),(MOD((ROW(Kutools_Chart!A68)- 57),10)+1),NA())</f>
        <v>#VALUE!</v>
      </c>
      <c r="B68" s="40" t="e">
        <f>IF(((ROW(Kutools_Chart!B68)-56)/100)&lt;=(投资收益表!$B$18+投资收益表!$B$19+投资收益表!$B$20+投资收益表!$B$21+投资收益表!$B$22),(MOD((ROW(Kutools_Chart!B68)- 57),10)+1),NA())</f>
        <v>#VALUE!</v>
      </c>
      <c r="C68" s="40" t="e">
        <f>IF(((ROW(Kutools_Chart!C68)-56)/100)&lt;=(投资收益表!$B$19+投资收益表!$B$20+投资收益表!$B$21+投资收益表!$B$22),(MOD((ROW(Kutools_Chart!C68)- 57),10)+1),NA())</f>
        <v>#VALUE!</v>
      </c>
      <c r="D68" s="40" t="e">
        <f>IF(((ROW(Kutools_Chart!D68)-56)/100)&lt;=(投资收益表!$B$20+投资收益表!$B$21+投资收益表!$B$22),(MOD((ROW(Kutools_Chart!D68)- 57),10)+1),NA())</f>
        <v>#VALUE!</v>
      </c>
      <c r="E68" s="40" t="e">
        <f>IF(((ROW(Kutools_Chart!E68)-56)/100)&lt;=(投资收益表!$B$21+投资收益表!$B$22),(MOD((ROW(Kutools_Chart!E68)- 57),10)+1),NA())</f>
        <v>#VALUE!</v>
      </c>
      <c r="F68" s="40">
        <f>IF(((ROW(Kutools_Chart!F68)-56)/100)&lt;=(投资收益表!$B$22),(MOD((ROW(Kutools_Chart!F68)- 57),10)+1),NA())</f>
        <v>2</v>
      </c>
    </row>
    <row r="69" spans="1:6">
      <c r="A69" s="40" t="e">
        <f>IF(((ROW(Kutools_Chart!A69)-56)/100)&lt;=(投资收益表!$B$17+投资收益表!$B$18+投资收益表!$B$19+投资收益表!$B$20+投资收益表!$B$21+投资收益表!$B$22),(MOD((ROW(Kutools_Chart!A69)- 57),10)+1),NA())</f>
        <v>#VALUE!</v>
      </c>
      <c r="B69" s="40" t="e">
        <f>IF(((ROW(Kutools_Chart!B69)-56)/100)&lt;=(投资收益表!$B$18+投资收益表!$B$19+投资收益表!$B$20+投资收益表!$B$21+投资收益表!$B$22),(MOD((ROW(Kutools_Chart!B69)- 57),10)+1),NA())</f>
        <v>#VALUE!</v>
      </c>
      <c r="C69" s="40" t="e">
        <f>IF(((ROW(Kutools_Chart!C69)-56)/100)&lt;=(投资收益表!$B$19+投资收益表!$B$20+投资收益表!$B$21+投资收益表!$B$22),(MOD((ROW(Kutools_Chart!C69)- 57),10)+1),NA())</f>
        <v>#VALUE!</v>
      </c>
      <c r="D69" s="40" t="e">
        <f>IF(((ROW(Kutools_Chart!D69)-56)/100)&lt;=(投资收益表!$B$20+投资收益表!$B$21+投资收益表!$B$22),(MOD((ROW(Kutools_Chart!D69)- 57),10)+1),NA())</f>
        <v>#VALUE!</v>
      </c>
      <c r="E69" s="40" t="e">
        <f>IF(((ROW(Kutools_Chart!E69)-56)/100)&lt;=(投资收益表!$B$21+投资收益表!$B$22),(MOD((ROW(Kutools_Chart!E69)- 57),10)+1),NA())</f>
        <v>#VALUE!</v>
      </c>
      <c r="F69" s="40">
        <f>IF(((ROW(Kutools_Chart!F69)-56)/100)&lt;=(投资收益表!$B$22),(MOD((ROW(Kutools_Chart!F69)- 57),10)+1),NA())</f>
        <v>3</v>
      </c>
    </row>
    <row r="70" spans="1:6">
      <c r="A70" s="40" t="e">
        <f>IF(((ROW(Kutools_Chart!A70)-56)/100)&lt;=(投资收益表!$B$17+投资收益表!$B$18+投资收益表!$B$19+投资收益表!$B$20+投资收益表!$B$21+投资收益表!$B$22),(MOD((ROW(Kutools_Chart!A70)- 57),10)+1),NA())</f>
        <v>#VALUE!</v>
      </c>
      <c r="B70" s="40" t="e">
        <f>IF(((ROW(Kutools_Chart!B70)-56)/100)&lt;=(投资收益表!$B$18+投资收益表!$B$19+投资收益表!$B$20+投资收益表!$B$21+投资收益表!$B$22),(MOD((ROW(Kutools_Chart!B70)- 57),10)+1),NA())</f>
        <v>#VALUE!</v>
      </c>
      <c r="C70" s="40" t="e">
        <f>IF(((ROW(Kutools_Chart!C70)-56)/100)&lt;=(投资收益表!$B$19+投资收益表!$B$20+投资收益表!$B$21+投资收益表!$B$22),(MOD((ROW(Kutools_Chart!C70)- 57),10)+1),NA())</f>
        <v>#VALUE!</v>
      </c>
      <c r="D70" s="40" t="e">
        <f>IF(((ROW(Kutools_Chart!D70)-56)/100)&lt;=(投资收益表!$B$20+投资收益表!$B$21+投资收益表!$B$22),(MOD((ROW(Kutools_Chart!D70)- 57),10)+1),NA())</f>
        <v>#VALUE!</v>
      </c>
      <c r="E70" s="40" t="e">
        <f>IF(((ROW(Kutools_Chart!E70)-56)/100)&lt;=(投资收益表!$B$21+投资收益表!$B$22),(MOD((ROW(Kutools_Chart!E70)- 57),10)+1),NA())</f>
        <v>#VALUE!</v>
      </c>
      <c r="F70" s="40">
        <f>IF(((ROW(Kutools_Chart!F70)-56)/100)&lt;=(投资收益表!$B$22),(MOD((ROW(Kutools_Chart!F70)- 57),10)+1),NA())</f>
        <v>4</v>
      </c>
    </row>
    <row r="71" spans="1:6">
      <c r="A71" s="40" t="e">
        <f>IF(((ROW(Kutools_Chart!A71)-56)/100)&lt;=(投资收益表!$B$17+投资收益表!$B$18+投资收益表!$B$19+投资收益表!$B$20+投资收益表!$B$21+投资收益表!$B$22),(MOD((ROW(Kutools_Chart!A71)- 57),10)+1),NA())</f>
        <v>#VALUE!</v>
      </c>
      <c r="B71" s="40" t="e">
        <f>IF(((ROW(Kutools_Chart!B71)-56)/100)&lt;=(投资收益表!$B$18+投资收益表!$B$19+投资收益表!$B$20+投资收益表!$B$21+投资收益表!$B$22),(MOD((ROW(Kutools_Chart!B71)- 57),10)+1),NA())</f>
        <v>#VALUE!</v>
      </c>
      <c r="C71" s="40" t="e">
        <f>IF(((ROW(Kutools_Chart!C71)-56)/100)&lt;=(投资收益表!$B$19+投资收益表!$B$20+投资收益表!$B$21+投资收益表!$B$22),(MOD((ROW(Kutools_Chart!C71)- 57),10)+1),NA())</f>
        <v>#VALUE!</v>
      </c>
      <c r="D71" s="40" t="e">
        <f>IF(((ROW(Kutools_Chart!D71)-56)/100)&lt;=(投资收益表!$B$20+投资收益表!$B$21+投资收益表!$B$22),(MOD((ROW(Kutools_Chart!D71)- 57),10)+1),NA())</f>
        <v>#VALUE!</v>
      </c>
      <c r="E71" s="40" t="e">
        <f>IF(((ROW(Kutools_Chart!E71)-56)/100)&lt;=(投资收益表!$B$21+投资收益表!$B$22),(MOD((ROW(Kutools_Chart!E71)- 57),10)+1),NA())</f>
        <v>#VALUE!</v>
      </c>
      <c r="F71" s="40">
        <f>IF(((ROW(Kutools_Chart!F71)-56)/100)&lt;=(投资收益表!$B$22),(MOD((ROW(Kutools_Chart!F71)- 57),10)+1),NA())</f>
        <v>5</v>
      </c>
    </row>
    <row r="72" spans="1:6">
      <c r="A72" s="40" t="e">
        <f>IF(((ROW(Kutools_Chart!A72)-56)/100)&lt;=(投资收益表!$B$17+投资收益表!$B$18+投资收益表!$B$19+投资收益表!$B$20+投资收益表!$B$21+投资收益表!$B$22),(MOD((ROW(Kutools_Chart!A72)- 57),10)+1),NA())</f>
        <v>#VALUE!</v>
      </c>
      <c r="B72" s="40" t="e">
        <f>IF(((ROW(Kutools_Chart!B72)-56)/100)&lt;=(投资收益表!$B$18+投资收益表!$B$19+投资收益表!$B$20+投资收益表!$B$21+投资收益表!$B$22),(MOD((ROW(Kutools_Chart!B72)- 57),10)+1),NA())</f>
        <v>#VALUE!</v>
      </c>
      <c r="C72" s="40" t="e">
        <f>IF(((ROW(Kutools_Chart!C72)-56)/100)&lt;=(投资收益表!$B$19+投资收益表!$B$20+投资收益表!$B$21+投资收益表!$B$22),(MOD((ROW(Kutools_Chart!C72)- 57),10)+1),NA())</f>
        <v>#VALUE!</v>
      </c>
      <c r="D72" s="40" t="e">
        <f>IF(((ROW(Kutools_Chart!D72)-56)/100)&lt;=(投资收益表!$B$20+投资收益表!$B$21+投资收益表!$B$22),(MOD((ROW(Kutools_Chart!D72)- 57),10)+1),NA())</f>
        <v>#VALUE!</v>
      </c>
      <c r="E72" s="40" t="e">
        <f>IF(((ROW(Kutools_Chart!E72)-56)/100)&lt;=(投资收益表!$B$21+投资收益表!$B$22),(MOD((ROW(Kutools_Chart!E72)- 57),10)+1),NA())</f>
        <v>#VALUE!</v>
      </c>
      <c r="F72" s="40">
        <f>IF(((ROW(Kutools_Chart!F72)-56)/100)&lt;=(投资收益表!$B$22),(MOD((ROW(Kutools_Chart!F72)- 57),10)+1),NA())</f>
        <v>6</v>
      </c>
    </row>
    <row r="73" spans="1:6">
      <c r="A73" s="40" t="e">
        <f>IF(((ROW(Kutools_Chart!A73)-56)/100)&lt;=(投资收益表!$B$17+投资收益表!$B$18+投资收益表!$B$19+投资收益表!$B$20+投资收益表!$B$21+投资收益表!$B$22),(MOD((ROW(Kutools_Chart!A73)- 57),10)+1),NA())</f>
        <v>#VALUE!</v>
      </c>
      <c r="B73" s="40" t="e">
        <f>IF(((ROW(Kutools_Chart!B73)-56)/100)&lt;=(投资收益表!$B$18+投资收益表!$B$19+投资收益表!$B$20+投资收益表!$B$21+投资收益表!$B$22),(MOD((ROW(Kutools_Chart!B73)- 57),10)+1),NA())</f>
        <v>#VALUE!</v>
      </c>
      <c r="C73" s="40" t="e">
        <f>IF(((ROW(Kutools_Chart!C73)-56)/100)&lt;=(投资收益表!$B$19+投资收益表!$B$20+投资收益表!$B$21+投资收益表!$B$22),(MOD((ROW(Kutools_Chart!C73)- 57),10)+1),NA())</f>
        <v>#VALUE!</v>
      </c>
      <c r="D73" s="40" t="e">
        <f>IF(((ROW(Kutools_Chart!D73)-56)/100)&lt;=(投资收益表!$B$20+投资收益表!$B$21+投资收益表!$B$22),(MOD((ROW(Kutools_Chart!D73)- 57),10)+1),NA())</f>
        <v>#VALUE!</v>
      </c>
      <c r="E73" s="40" t="e">
        <f>IF(((ROW(Kutools_Chart!E73)-56)/100)&lt;=(投资收益表!$B$21+投资收益表!$B$22),(MOD((ROW(Kutools_Chart!E73)- 57),10)+1),NA())</f>
        <v>#VALUE!</v>
      </c>
      <c r="F73" s="40">
        <f>IF(((ROW(Kutools_Chart!F73)-56)/100)&lt;=(投资收益表!$B$22),(MOD((ROW(Kutools_Chart!F73)- 57),10)+1),NA())</f>
        <v>7</v>
      </c>
    </row>
    <row r="74" spans="1:6">
      <c r="A74" s="40" t="e">
        <f>IF(((ROW(Kutools_Chart!A74)-56)/100)&lt;=(投资收益表!$B$17+投资收益表!$B$18+投资收益表!$B$19+投资收益表!$B$20+投资收益表!$B$21+投资收益表!$B$22),(MOD((ROW(Kutools_Chart!A74)- 57),10)+1),NA())</f>
        <v>#VALUE!</v>
      </c>
      <c r="B74" s="40" t="e">
        <f>IF(((ROW(Kutools_Chart!B74)-56)/100)&lt;=(投资收益表!$B$18+投资收益表!$B$19+投资收益表!$B$20+投资收益表!$B$21+投资收益表!$B$22),(MOD((ROW(Kutools_Chart!B74)- 57),10)+1),NA())</f>
        <v>#VALUE!</v>
      </c>
      <c r="C74" s="40" t="e">
        <f>IF(((ROW(Kutools_Chart!C74)-56)/100)&lt;=(投资收益表!$B$19+投资收益表!$B$20+投资收益表!$B$21+投资收益表!$B$22),(MOD((ROW(Kutools_Chart!C74)- 57),10)+1),NA())</f>
        <v>#VALUE!</v>
      </c>
      <c r="D74" s="40" t="e">
        <f>IF(((ROW(Kutools_Chart!D74)-56)/100)&lt;=(投资收益表!$B$20+投资收益表!$B$21+投资收益表!$B$22),(MOD((ROW(Kutools_Chart!D74)- 57),10)+1),NA())</f>
        <v>#VALUE!</v>
      </c>
      <c r="E74" s="40" t="e">
        <f>IF(((ROW(Kutools_Chart!E74)-56)/100)&lt;=(投资收益表!$B$21+投资收益表!$B$22),(MOD((ROW(Kutools_Chart!E74)- 57),10)+1),NA())</f>
        <v>#VALUE!</v>
      </c>
      <c r="F74" s="40">
        <f>IF(((ROW(Kutools_Chart!F74)-56)/100)&lt;=(投资收益表!$B$22),(MOD((ROW(Kutools_Chart!F74)- 57),10)+1),NA())</f>
        <v>8</v>
      </c>
    </row>
    <row r="75" spans="1:6">
      <c r="A75" s="40" t="e">
        <f>IF(((ROW(Kutools_Chart!A75)-56)/100)&lt;=(投资收益表!$B$17+投资收益表!$B$18+投资收益表!$B$19+投资收益表!$B$20+投资收益表!$B$21+投资收益表!$B$22),(MOD((ROW(Kutools_Chart!A75)- 57),10)+1),NA())</f>
        <v>#VALUE!</v>
      </c>
      <c r="B75" s="40" t="e">
        <f>IF(((ROW(Kutools_Chart!B75)-56)/100)&lt;=(投资收益表!$B$18+投资收益表!$B$19+投资收益表!$B$20+投资收益表!$B$21+投资收益表!$B$22),(MOD((ROW(Kutools_Chart!B75)- 57),10)+1),NA())</f>
        <v>#VALUE!</v>
      </c>
      <c r="C75" s="40" t="e">
        <f>IF(((ROW(Kutools_Chart!C75)-56)/100)&lt;=(投资收益表!$B$19+投资收益表!$B$20+投资收益表!$B$21+投资收益表!$B$22),(MOD((ROW(Kutools_Chart!C75)- 57),10)+1),NA())</f>
        <v>#VALUE!</v>
      </c>
      <c r="D75" s="40" t="e">
        <f>IF(((ROW(Kutools_Chart!D75)-56)/100)&lt;=(投资收益表!$B$20+投资收益表!$B$21+投资收益表!$B$22),(MOD((ROW(Kutools_Chart!D75)- 57),10)+1),NA())</f>
        <v>#VALUE!</v>
      </c>
      <c r="E75" s="40" t="e">
        <f>IF(((ROW(Kutools_Chart!E75)-56)/100)&lt;=(投资收益表!$B$21+投资收益表!$B$22),(MOD((ROW(Kutools_Chart!E75)- 57),10)+1),NA())</f>
        <v>#VALUE!</v>
      </c>
      <c r="F75" s="40">
        <f>IF(((ROW(Kutools_Chart!F75)-56)/100)&lt;=(投资收益表!$B$22),(MOD((ROW(Kutools_Chart!F75)- 57),10)+1),NA())</f>
        <v>9</v>
      </c>
    </row>
    <row r="76" spans="1:6">
      <c r="A76" s="40" t="e">
        <f>IF(((ROW(Kutools_Chart!A76)-56)/100)&lt;=(投资收益表!$B$17+投资收益表!$B$18+投资收益表!$B$19+投资收益表!$B$20+投资收益表!$B$21+投资收益表!$B$22),(MOD((ROW(Kutools_Chart!A76)- 57),10)+1),NA())</f>
        <v>#VALUE!</v>
      </c>
      <c r="B76" s="40" t="e">
        <f>IF(((ROW(Kutools_Chart!B76)-56)/100)&lt;=(投资收益表!$B$18+投资收益表!$B$19+投资收益表!$B$20+投资收益表!$B$21+投资收益表!$B$22),(MOD((ROW(Kutools_Chart!B76)- 57),10)+1),NA())</f>
        <v>#VALUE!</v>
      </c>
      <c r="C76" s="40" t="e">
        <f>IF(((ROW(Kutools_Chart!C76)-56)/100)&lt;=(投资收益表!$B$19+投资收益表!$B$20+投资收益表!$B$21+投资收益表!$B$22),(MOD((ROW(Kutools_Chart!C76)- 57),10)+1),NA())</f>
        <v>#VALUE!</v>
      </c>
      <c r="D76" s="40" t="e">
        <f>IF(((ROW(Kutools_Chart!D76)-56)/100)&lt;=(投资收益表!$B$20+投资收益表!$B$21+投资收益表!$B$22),(MOD((ROW(Kutools_Chart!D76)- 57),10)+1),NA())</f>
        <v>#VALUE!</v>
      </c>
      <c r="E76" s="40" t="e">
        <f>IF(((ROW(Kutools_Chart!E76)-56)/100)&lt;=(投资收益表!$B$21+投资收益表!$B$22),(MOD((ROW(Kutools_Chart!E76)- 57),10)+1),NA())</f>
        <v>#VALUE!</v>
      </c>
      <c r="F76" s="40">
        <f>IF(((ROW(Kutools_Chart!F76)-56)/100)&lt;=(投资收益表!$B$22),(MOD((ROW(Kutools_Chart!F76)- 57),10)+1),NA())</f>
        <v>10</v>
      </c>
    </row>
    <row r="77" spans="1:6">
      <c r="A77" s="40" t="e">
        <f>IF(((ROW(Kutools_Chart!A77)-56)/100)&lt;=(投资收益表!$B$17+投资收益表!$B$18+投资收益表!$B$19+投资收益表!$B$20+投资收益表!$B$21+投资收益表!$B$22),(MOD((ROW(Kutools_Chart!A77)- 57),10)+1),NA())</f>
        <v>#VALUE!</v>
      </c>
      <c r="B77" s="40" t="e">
        <f>IF(((ROW(Kutools_Chart!B77)-56)/100)&lt;=(投资收益表!$B$18+投资收益表!$B$19+投资收益表!$B$20+投资收益表!$B$21+投资收益表!$B$22),(MOD((ROW(Kutools_Chart!B77)- 57),10)+1),NA())</f>
        <v>#VALUE!</v>
      </c>
      <c r="C77" s="40" t="e">
        <f>IF(((ROW(Kutools_Chart!C77)-56)/100)&lt;=(投资收益表!$B$19+投资收益表!$B$20+投资收益表!$B$21+投资收益表!$B$22),(MOD((ROW(Kutools_Chart!C77)- 57),10)+1),NA())</f>
        <v>#VALUE!</v>
      </c>
      <c r="D77" s="40" t="e">
        <f>IF(((ROW(Kutools_Chart!D77)-56)/100)&lt;=(投资收益表!$B$20+投资收益表!$B$21+投资收益表!$B$22),(MOD((ROW(Kutools_Chart!D77)- 57),10)+1),NA())</f>
        <v>#VALUE!</v>
      </c>
      <c r="E77" s="40" t="e">
        <f>IF(((ROW(Kutools_Chart!E77)-56)/100)&lt;=(投资收益表!$B$21+投资收益表!$B$22),(MOD((ROW(Kutools_Chart!E77)- 57),10)+1),NA())</f>
        <v>#VALUE!</v>
      </c>
      <c r="F77" s="40">
        <f>IF(((ROW(Kutools_Chart!F77)-56)/100)&lt;=(投资收益表!$B$22),(MOD((ROW(Kutools_Chart!F77)- 57),10)+1),NA())</f>
        <v>1</v>
      </c>
    </row>
    <row r="78" spans="1:6">
      <c r="A78" s="40" t="e">
        <f>IF(((ROW(Kutools_Chart!A78)-56)/100)&lt;=(投资收益表!$B$17+投资收益表!$B$18+投资收益表!$B$19+投资收益表!$B$20+投资收益表!$B$21+投资收益表!$B$22),(MOD((ROW(Kutools_Chart!A78)- 57),10)+1),NA())</f>
        <v>#VALUE!</v>
      </c>
      <c r="B78" s="40" t="e">
        <f>IF(((ROW(Kutools_Chart!B78)-56)/100)&lt;=(投资收益表!$B$18+投资收益表!$B$19+投资收益表!$B$20+投资收益表!$B$21+投资收益表!$B$22),(MOD((ROW(Kutools_Chart!B78)- 57),10)+1),NA())</f>
        <v>#VALUE!</v>
      </c>
      <c r="C78" s="40" t="e">
        <f>IF(((ROW(Kutools_Chart!C78)-56)/100)&lt;=(投资收益表!$B$19+投资收益表!$B$20+投资收益表!$B$21+投资收益表!$B$22),(MOD((ROW(Kutools_Chart!C78)- 57),10)+1),NA())</f>
        <v>#VALUE!</v>
      </c>
      <c r="D78" s="40" t="e">
        <f>IF(((ROW(Kutools_Chart!D78)-56)/100)&lt;=(投资收益表!$B$20+投资收益表!$B$21+投资收益表!$B$22),(MOD((ROW(Kutools_Chart!D78)- 57),10)+1),NA())</f>
        <v>#VALUE!</v>
      </c>
      <c r="E78" s="40" t="e">
        <f>IF(((ROW(Kutools_Chart!E78)-56)/100)&lt;=(投资收益表!$B$21+投资收益表!$B$22),(MOD((ROW(Kutools_Chart!E78)- 57),10)+1),NA())</f>
        <v>#VALUE!</v>
      </c>
      <c r="F78" s="40">
        <f>IF(((ROW(Kutools_Chart!F78)-56)/100)&lt;=(投资收益表!$B$22),(MOD((ROW(Kutools_Chart!F78)- 57),10)+1),NA())</f>
        <v>2</v>
      </c>
    </row>
    <row r="79" spans="1:6">
      <c r="A79" s="40" t="e">
        <f>IF(((ROW(Kutools_Chart!A79)-56)/100)&lt;=(投资收益表!$B$17+投资收益表!$B$18+投资收益表!$B$19+投资收益表!$B$20+投资收益表!$B$21+投资收益表!$B$22),(MOD((ROW(Kutools_Chart!A79)- 57),10)+1),NA())</f>
        <v>#VALUE!</v>
      </c>
      <c r="B79" s="40" t="e">
        <f>IF(((ROW(Kutools_Chart!B79)-56)/100)&lt;=(投资收益表!$B$18+投资收益表!$B$19+投资收益表!$B$20+投资收益表!$B$21+投资收益表!$B$22),(MOD((ROW(Kutools_Chart!B79)- 57),10)+1),NA())</f>
        <v>#VALUE!</v>
      </c>
      <c r="C79" s="40" t="e">
        <f>IF(((ROW(Kutools_Chart!C79)-56)/100)&lt;=(投资收益表!$B$19+投资收益表!$B$20+投资收益表!$B$21+投资收益表!$B$22),(MOD((ROW(Kutools_Chart!C79)- 57),10)+1),NA())</f>
        <v>#VALUE!</v>
      </c>
      <c r="D79" s="40" t="e">
        <f>IF(((ROW(Kutools_Chart!D79)-56)/100)&lt;=(投资收益表!$B$20+投资收益表!$B$21+投资收益表!$B$22),(MOD((ROW(Kutools_Chart!D79)- 57),10)+1),NA())</f>
        <v>#VALUE!</v>
      </c>
      <c r="E79" s="40" t="e">
        <f>IF(((ROW(Kutools_Chart!E79)-56)/100)&lt;=(投资收益表!$B$21+投资收益表!$B$22),(MOD((ROW(Kutools_Chart!E79)- 57),10)+1),NA())</f>
        <v>#VALUE!</v>
      </c>
      <c r="F79" s="40">
        <f>IF(((ROW(Kutools_Chart!F79)-56)/100)&lt;=(投资收益表!$B$22),(MOD((ROW(Kutools_Chart!F79)- 57),10)+1),NA())</f>
        <v>3</v>
      </c>
    </row>
    <row r="80" spans="1:6">
      <c r="A80" s="40" t="e">
        <f>IF(((ROW(Kutools_Chart!A80)-56)/100)&lt;=(投资收益表!$B$17+投资收益表!$B$18+投资收益表!$B$19+投资收益表!$B$20+投资收益表!$B$21+投资收益表!$B$22),(MOD((ROW(Kutools_Chart!A80)- 57),10)+1),NA())</f>
        <v>#VALUE!</v>
      </c>
      <c r="B80" s="40" t="e">
        <f>IF(((ROW(Kutools_Chart!B80)-56)/100)&lt;=(投资收益表!$B$18+投资收益表!$B$19+投资收益表!$B$20+投资收益表!$B$21+投资收益表!$B$22),(MOD((ROW(Kutools_Chart!B80)- 57),10)+1),NA())</f>
        <v>#VALUE!</v>
      </c>
      <c r="C80" s="40" t="e">
        <f>IF(((ROW(Kutools_Chart!C80)-56)/100)&lt;=(投资收益表!$B$19+投资收益表!$B$20+投资收益表!$B$21+投资收益表!$B$22),(MOD((ROW(Kutools_Chart!C80)- 57),10)+1),NA())</f>
        <v>#VALUE!</v>
      </c>
      <c r="D80" s="40" t="e">
        <f>IF(((ROW(Kutools_Chart!D80)-56)/100)&lt;=(投资收益表!$B$20+投资收益表!$B$21+投资收益表!$B$22),(MOD((ROW(Kutools_Chart!D80)- 57),10)+1),NA())</f>
        <v>#VALUE!</v>
      </c>
      <c r="E80" s="40" t="e">
        <f>IF(((ROW(Kutools_Chart!E80)-56)/100)&lt;=(投资收益表!$B$21+投资收益表!$B$22),(MOD((ROW(Kutools_Chart!E80)- 57),10)+1),NA())</f>
        <v>#VALUE!</v>
      </c>
      <c r="F80" s="40">
        <f>IF(((ROW(Kutools_Chart!F80)-56)/100)&lt;=(投资收益表!$B$22),(MOD((ROW(Kutools_Chart!F80)- 57),10)+1),NA())</f>
        <v>4</v>
      </c>
    </row>
    <row r="81" spans="1:6">
      <c r="A81" s="40" t="e">
        <f>IF(((ROW(Kutools_Chart!A81)-56)/100)&lt;=(投资收益表!$B$17+投资收益表!$B$18+投资收益表!$B$19+投资收益表!$B$20+投资收益表!$B$21+投资收益表!$B$22),(MOD((ROW(Kutools_Chart!A81)- 57),10)+1),NA())</f>
        <v>#VALUE!</v>
      </c>
      <c r="B81" s="40" t="e">
        <f>IF(((ROW(Kutools_Chart!B81)-56)/100)&lt;=(投资收益表!$B$18+投资收益表!$B$19+投资收益表!$B$20+投资收益表!$B$21+投资收益表!$B$22),(MOD((ROW(Kutools_Chart!B81)- 57),10)+1),NA())</f>
        <v>#VALUE!</v>
      </c>
      <c r="C81" s="40" t="e">
        <f>IF(((ROW(Kutools_Chart!C81)-56)/100)&lt;=(投资收益表!$B$19+投资收益表!$B$20+投资收益表!$B$21+投资收益表!$B$22),(MOD((ROW(Kutools_Chart!C81)- 57),10)+1),NA())</f>
        <v>#VALUE!</v>
      </c>
      <c r="D81" s="40" t="e">
        <f>IF(((ROW(Kutools_Chart!D81)-56)/100)&lt;=(投资收益表!$B$20+投资收益表!$B$21+投资收益表!$B$22),(MOD((ROW(Kutools_Chart!D81)- 57),10)+1),NA())</f>
        <v>#VALUE!</v>
      </c>
      <c r="E81" s="40" t="e">
        <f>IF(((ROW(Kutools_Chart!E81)-56)/100)&lt;=(投资收益表!$B$21+投资收益表!$B$22),(MOD((ROW(Kutools_Chart!E81)- 57),10)+1),NA())</f>
        <v>#VALUE!</v>
      </c>
      <c r="F81" s="40">
        <f>IF(((ROW(Kutools_Chart!F81)-56)/100)&lt;=(投资收益表!$B$22),(MOD((ROW(Kutools_Chart!F81)- 57),10)+1),NA())</f>
        <v>5</v>
      </c>
    </row>
    <row r="82" spans="1:6">
      <c r="A82" s="40" t="e">
        <f>IF(((ROW(Kutools_Chart!A82)-56)/100)&lt;=(投资收益表!$B$17+投资收益表!$B$18+投资收益表!$B$19+投资收益表!$B$20+投资收益表!$B$21+投资收益表!$B$22),(MOD((ROW(Kutools_Chart!A82)- 57),10)+1),NA())</f>
        <v>#VALUE!</v>
      </c>
      <c r="B82" s="40" t="e">
        <f>IF(((ROW(Kutools_Chart!B82)-56)/100)&lt;=(投资收益表!$B$18+投资收益表!$B$19+投资收益表!$B$20+投资收益表!$B$21+投资收益表!$B$22),(MOD((ROW(Kutools_Chart!B82)- 57),10)+1),NA())</f>
        <v>#VALUE!</v>
      </c>
      <c r="C82" s="40" t="e">
        <f>IF(((ROW(Kutools_Chart!C82)-56)/100)&lt;=(投资收益表!$B$19+投资收益表!$B$20+投资收益表!$B$21+投资收益表!$B$22),(MOD((ROW(Kutools_Chart!C82)- 57),10)+1),NA())</f>
        <v>#VALUE!</v>
      </c>
      <c r="D82" s="40" t="e">
        <f>IF(((ROW(Kutools_Chart!D82)-56)/100)&lt;=(投资收益表!$B$20+投资收益表!$B$21+投资收益表!$B$22),(MOD((ROW(Kutools_Chart!D82)- 57),10)+1),NA())</f>
        <v>#VALUE!</v>
      </c>
      <c r="E82" s="40" t="e">
        <f>IF(((ROW(Kutools_Chart!E82)-56)/100)&lt;=(投资收益表!$B$21+投资收益表!$B$22),(MOD((ROW(Kutools_Chart!E82)- 57),10)+1),NA())</f>
        <v>#VALUE!</v>
      </c>
      <c r="F82" s="40">
        <f>IF(((ROW(Kutools_Chart!F82)-56)/100)&lt;=(投资收益表!$B$22),(MOD((ROW(Kutools_Chart!F82)- 57),10)+1),NA())</f>
        <v>6</v>
      </c>
    </row>
    <row r="83" spans="1:6">
      <c r="A83" s="40" t="e">
        <f>IF(((ROW(Kutools_Chart!A83)-56)/100)&lt;=(投资收益表!$B$17+投资收益表!$B$18+投资收益表!$B$19+投资收益表!$B$20+投资收益表!$B$21+投资收益表!$B$22),(MOD((ROW(Kutools_Chart!A83)- 57),10)+1),NA())</f>
        <v>#VALUE!</v>
      </c>
      <c r="B83" s="40" t="e">
        <f>IF(((ROW(Kutools_Chart!B83)-56)/100)&lt;=(投资收益表!$B$18+投资收益表!$B$19+投资收益表!$B$20+投资收益表!$B$21+投资收益表!$B$22),(MOD((ROW(Kutools_Chart!B83)- 57),10)+1),NA())</f>
        <v>#VALUE!</v>
      </c>
      <c r="C83" s="40" t="e">
        <f>IF(((ROW(Kutools_Chart!C83)-56)/100)&lt;=(投资收益表!$B$19+投资收益表!$B$20+投资收益表!$B$21+投资收益表!$B$22),(MOD((ROW(Kutools_Chart!C83)- 57),10)+1),NA())</f>
        <v>#VALUE!</v>
      </c>
      <c r="D83" s="40" t="e">
        <f>IF(((ROW(Kutools_Chart!D83)-56)/100)&lt;=(投资收益表!$B$20+投资收益表!$B$21+投资收益表!$B$22),(MOD((ROW(Kutools_Chart!D83)- 57),10)+1),NA())</f>
        <v>#VALUE!</v>
      </c>
      <c r="E83" s="40" t="e">
        <f>IF(((ROW(Kutools_Chart!E83)-56)/100)&lt;=(投资收益表!$B$21+投资收益表!$B$22),(MOD((ROW(Kutools_Chart!E83)- 57),10)+1),NA())</f>
        <v>#VALUE!</v>
      </c>
      <c r="F83" s="40">
        <f>IF(((ROW(Kutools_Chart!F83)-56)/100)&lt;=(投资收益表!$B$22),(MOD((ROW(Kutools_Chart!F83)- 57),10)+1),NA())</f>
        <v>7</v>
      </c>
    </row>
    <row r="84" spans="1:6">
      <c r="A84" s="40" t="e">
        <f>IF(((ROW(Kutools_Chart!A84)-56)/100)&lt;=(投资收益表!$B$17+投资收益表!$B$18+投资收益表!$B$19+投资收益表!$B$20+投资收益表!$B$21+投资收益表!$B$22),(MOD((ROW(Kutools_Chart!A84)- 57),10)+1),NA())</f>
        <v>#VALUE!</v>
      </c>
      <c r="B84" s="40" t="e">
        <f>IF(((ROW(Kutools_Chart!B84)-56)/100)&lt;=(投资收益表!$B$18+投资收益表!$B$19+投资收益表!$B$20+投资收益表!$B$21+投资收益表!$B$22),(MOD((ROW(Kutools_Chart!B84)- 57),10)+1),NA())</f>
        <v>#VALUE!</v>
      </c>
      <c r="C84" s="40" t="e">
        <f>IF(((ROW(Kutools_Chart!C84)-56)/100)&lt;=(投资收益表!$B$19+投资收益表!$B$20+投资收益表!$B$21+投资收益表!$B$22),(MOD((ROW(Kutools_Chart!C84)- 57),10)+1),NA())</f>
        <v>#VALUE!</v>
      </c>
      <c r="D84" s="40" t="e">
        <f>IF(((ROW(Kutools_Chart!D84)-56)/100)&lt;=(投资收益表!$B$20+投资收益表!$B$21+投资收益表!$B$22),(MOD((ROW(Kutools_Chart!D84)- 57),10)+1),NA())</f>
        <v>#VALUE!</v>
      </c>
      <c r="E84" s="40" t="e">
        <f>IF(((ROW(Kutools_Chart!E84)-56)/100)&lt;=(投资收益表!$B$21+投资收益表!$B$22),(MOD((ROW(Kutools_Chart!E84)- 57),10)+1),NA())</f>
        <v>#VALUE!</v>
      </c>
      <c r="F84" s="40">
        <f>IF(((ROW(Kutools_Chart!F84)-56)/100)&lt;=(投资收益表!$B$22),(MOD((ROW(Kutools_Chart!F84)- 57),10)+1),NA())</f>
        <v>8</v>
      </c>
    </row>
    <row r="85" spans="1:6">
      <c r="A85" s="40" t="e">
        <f>IF(((ROW(Kutools_Chart!A85)-56)/100)&lt;=(投资收益表!$B$17+投资收益表!$B$18+投资收益表!$B$19+投资收益表!$B$20+投资收益表!$B$21+投资收益表!$B$22),(MOD((ROW(Kutools_Chart!A85)- 57),10)+1),NA())</f>
        <v>#VALUE!</v>
      </c>
      <c r="B85" s="40" t="e">
        <f>IF(((ROW(Kutools_Chart!B85)-56)/100)&lt;=(投资收益表!$B$18+投资收益表!$B$19+投资收益表!$B$20+投资收益表!$B$21+投资收益表!$B$22),(MOD((ROW(Kutools_Chart!B85)- 57),10)+1),NA())</f>
        <v>#VALUE!</v>
      </c>
      <c r="C85" s="40" t="e">
        <f>IF(((ROW(Kutools_Chart!C85)-56)/100)&lt;=(投资收益表!$B$19+投资收益表!$B$20+投资收益表!$B$21+投资收益表!$B$22),(MOD((ROW(Kutools_Chart!C85)- 57),10)+1),NA())</f>
        <v>#VALUE!</v>
      </c>
      <c r="D85" s="40" t="e">
        <f>IF(((ROW(Kutools_Chart!D85)-56)/100)&lt;=(投资收益表!$B$20+投资收益表!$B$21+投资收益表!$B$22),(MOD((ROW(Kutools_Chart!D85)- 57),10)+1),NA())</f>
        <v>#VALUE!</v>
      </c>
      <c r="E85" s="40" t="e">
        <f>IF(((ROW(Kutools_Chart!E85)-56)/100)&lt;=(投资收益表!$B$21+投资收益表!$B$22),(MOD((ROW(Kutools_Chart!E85)- 57),10)+1),NA())</f>
        <v>#VALUE!</v>
      </c>
      <c r="F85" s="40">
        <f>IF(((ROW(Kutools_Chart!F85)-56)/100)&lt;=(投资收益表!$B$22),(MOD((ROW(Kutools_Chart!F85)- 57),10)+1),NA())</f>
        <v>9</v>
      </c>
    </row>
    <row r="86" spans="1:6">
      <c r="A86" s="40" t="e">
        <f>IF(((ROW(Kutools_Chart!A86)-56)/100)&lt;=(投资收益表!$B$17+投资收益表!$B$18+投资收益表!$B$19+投资收益表!$B$20+投资收益表!$B$21+投资收益表!$B$22),(MOD((ROW(Kutools_Chart!A86)- 57),10)+1),NA())</f>
        <v>#VALUE!</v>
      </c>
      <c r="B86" s="40" t="e">
        <f>IF(((ROW(Kutools_Chart!B86)-56)/100)&lt;=(投资收益表!$B$18+投资收益表!$B$19+投资收益表!$B$20+投资收益表!$B$21+投资收益表!$B$22),(MOD((ROW(Kutools_Chart!B86)- 57),10)+1),NA())</f>
        <v>#VALUE!</v>
      </c>
      <c r="C86" s="40" t="e">
        <f>IF(((ROW(Kutools_Chart!C86)-56)/100)&lt;=(投资收益表!$B$19+投资收益表!$B$20+投资收益表!$B$21+投资收益表!$B$22),(MOD((ROW(Kutools_Chart!C86)- 57),10)+1),NA())</f>
        <v>#VALUE!</v>
      </c>
      <c r="D86" s="40" t="e">
        <f>IF(((ROW(Kutools_Chart!D86)-56)/100)&lt;=(投资收益表!$B$20+投资收益表!$B$21+投资收益表!$B$22),(MOD((ROW(Kutools_Chart!D86)- 57),10)+1),NA())</f>
        <v>#VALUE!</v>
      </c>
      <c r="E86" s="40" t="e">
        <f>IF(((ROW(Kutools_Chart!E86)-56)/100)&lt;=(投资收益表!$B$21+投资收益表!$B$22),(MOD((ROW(Kutools_Chart!E86)- 57),10)+1),NA())</f>
        <v>#VALUE!</v>
      </c>
      <c r="F86" s="40">
        <f>IF(((ROW(Kutools_Chart!F86)-56)/100)&lt;=(投资收益表!$B$22),(MOD((ROW(Kutools_Chart!F86)- 57),10)+1),NA())</f>
        <v>10</v>
      </c>
    </row>
    <row r="87" spans="1:6">
      <c r="A87" s="40" t="e">
        <f>IF(((ROW(Kutools_Chart!A87)-56)/100)&lt;=(投资收益表!$B$17+投资收益表!$B$18+投资收益表!$B$19+投资收益表!$B$20+投资收益表!$B$21+投资收益表!$B$22),(MOD((ROW(Kutools_Chart!A87)- 57),10)+1),NA())</f>
        <v>#VALUE!</v>
      </c>
      <c r="B87" s="40" t="e">
        <f>IF(((ROW(Kutools_Chart!B87)-56)/100)&lt;=(投资收益表!$B$18+投资收益表!$B$19+投资收益表!$B$20+投资收益表!$B$21+投资收益表!$B$22),(MOD((ROW(Kutools_Chart!B87)- 57),10)+1),NA())</f>
        <v>#VALUE!</v>
      </c>
      <c r="C87" s="40" t="e">
        <f>IF(((ROW(Kutools_Chart!C87)-56)/100)&lt;=(投资收益表!$B$19+投资收益表!$B$20+投资收益表!$B$21+投资收益表!$B$22),(MOD((ROW(Kutools_Chart!C87)- 57),10)+1),NA())</f>
        <v>#VALUE!</v>
      </c>
      <c r="D87" s="40" t="e">
        <f>IF(((ROW(Kutools_Chart!D87)-56)/100)&lt;=(投资收益表!$B$20+投资收益表!$B$21+投资收益表!$B$22),(MOD((ROW(Kutools_Chart!D87)- 57),10)+1),NA())</f>
        <v>#VALUE!</v>
      </c>
      <c r="E87" s="40" t="e">
        <f>IF(((ROW(Kutools_Chart!E87)-56)/100)&lt;=(投资收益表!$B$21+投资收益表!$B$22),(MOD((ROW(Kutools_Chart!E87)- 57),10)+1),NA())</f>
        <v>#VALUE!</v>
      </c>
      <c r="F87" s="40">
        <f>IF(((ROW(Kutools_Chart!F87)-56)/100)&lt;=(投资收益表!$B$22),(MOD((ROW(Kutools_Chart!F87)- 57),10)+1),NA())</f>
        <v>1</v>
      </c>
    </row>
    <row r="88" spans="1:6">
      <c r="A88" s="40" t="e">
        <f>IF(((ROW(Kutools_Chart!A88)-56)/100)&lt;=(投资收益表!$B$17+投资收益表!$B$18+投资收益表!$B$19+投资收益表!$B$20+投资收益表!$B$21+投资收益表!$B$22),(MOD((ROW(Kutools_Chart!A88)- 57),10)+1),NA())</f>
        <v>#VALUE!</v>
      </c>
      <c r="B88" s="40" t="e">
        <f>IF(((ROW(Kutools_Chart!B88)-56)/100)&lt;=(投资收益表!$B$18+投资收益表!$B$19+投资收益表!$B$20+投资收益表!$B$21+投资收益表!$B$22),(MOD((ROW(Kutools_Chart!B88)- 57),10)+1),NA())</f>
        <v>#VALUE!</v>
      </c>
      <c r="C88" s="40" t="e">
        <f>IF(((ROW(Kutools_Chart!C88)-56)/100)&lt;=(投资收益表!$B$19+投资收益表!$B$20+投资收益表!$B$21+投资收益表!$B$22),(MOD((ROW(Kutools_Chart!C88)- 57),10)+1),NA())</f>
        <v>#VALUE!</v>
      </c>
      <c r="D88" s="40" t="e">
        <f>IF(((ROW(Kutools_Chart!D88)-56)/100)&lt;=(投资收益表!$B$20+投资收益表!$B$21+投资收益表!$B$22),(MOD((ROW(Kutools_Chart!D88)- 57),10)+1),NA())</f>
        <v>#VALUE!</v>
      </c>
      <c r="E88" s="40" t="e">
        <f>IF(((ROW(Kutools_Chart!E88)-56)/100)&lt;=(投资收益表!$B$21+投资收益表!$B$22),(MOD((ROW(Kutools_Chart!E88)- 57),10)+1),NA())</f>
        <v>#VALUE!</v>
      </c>
      <c r="F88" s="40">
        <f>IF(((ROW(Kutools_Chart!F88)-56)/100)&lt;=(投资收益表!$B$22),(MOD((ROW(Kutools_Chart!F88)- 57),10)+1),NA())</f>
        <v>2</v>
      </c>
    </row>
    <row r="89" spans="1:6">
      <c r="A89" s="40" t="e">
        <f>IF(((ROW(Kutools_Chart!A89)-56)/100)&lt;=(投资收益表!$B$17+投资收益表!$B$18+投资收益表!$B$19+投资收益表!$B$20+投资收益表!$B$21+投资收益表!$B$22),(MOD((ROW(Kutools_Chart!A89)- 57),10)+1),NA())</f>
        <v>#VALUE!</v>
      </c>
      <c r="B89" s="40" t="e">
        <f>IF(((ROW(Kutools_Chart!B89)-56)/100)&lt;=(投资收益表!$B$18+投资收益表!$B$19+投资收益表!$B$20+投资收益表!$B$21+投资收益表!$B$22),(MOD((ROW(Kutools_Chart!B89)- 57),10)+1),NA())</f>
        <v>#VALUE!</v>
      </c>
      <c r="C89" s="40" t="e">
        <f>IF(((ROW(Kutools_Chart!C89)-56)/100)&lt;=(投资收益表!$B$19+投资收益表!$B$20+投资收益表!$B$21+投资收益表!$B$22),(MOD((ROW(Kutools_Chart!C89)- 57),10)+1),NA())</f>
        <v>#VALUE!</v>
      </c>
      <c r="D89" s="40" t="e">
        <f>IF(((ROW(Kutools_Chart!D89)-56)/100)&lt;=(投资收益表!$B$20+投资收益表!$B$21+投资收益表!$B$22),(MOD((ROW(Kutools_Chart!D89)- 57),10)+1),NA())</f>
        <v>#VALUE!</v>
      </c>
      <c r="E89" s="40" t="e">
        <f>IF(((ROW(Kutools_Chart!E89)-56)/100)&lt;=(投资收益表!$B$21+投资收益表!$B$22),(MOD((ROW(Kutools_Chart!E89)- 57),10)+1),NA())</f>
        <v>#VALUE!</v>
      </c>
      <c r="F89" s="40">
        <f>IF(((ROW(Kutools_Chart!F89)-56)/100)&lt;=(投资收益表!$B$22),(MOD((ROW(Kutools_Chart!F89)- 57),10)+1),NA())</f>
        <v>3</v>
      </c>
    </row>
    <row r="90" spans="1:6">
      <c r="A90" s="40" t="e">
        <f>IF(((ROW(Kutools_Chart!A90)-56)/100)&lt;=(投资收益表!$B$17+投资收益表!$B$18+投资收益表!$B$19+投资收益表!$B$20+投资收益表!$B$21+投资收益表!$B$22),(MOD((ROW(Kutools_Chart!A90)- 57),10)+1),NA())</f>
        <v>#VALUE!</v>
      </c>
      <c r="B90" s="40" t="e">
        <f>IF(((ROW(Kutools_Chart!B90)-56)/100)&lt;=(投资收益表!$B$18+投资收益表!$B$19+投资收益表!$B$20+投资收益表!$B$21+投资收益表!$B$22),(MOD((ROW(Kutools_Chart!B90)- 57),10)+1),NA())</f>
        <v>#VALUE!</v>
      </c>
      <c r="C90" s="40" t="e">
        <f>IF(((ROW(Kutools_Chart!C90)-56)/100)&lt;=(投资收益表!$B$19+投资收益表!$B$20+投资收益表!$B$21+投资收益表!$B$22),(MOD((ROW(Kutools_Chart!C90)- 57),10)+1),NA())</f>
        <v>#VALUE!</v>
      </c>
      <c r="D90" s="40" t="e">
        <f>IF(((ROW(Kutools_Chart!D90)-56)/100)&lt;=(投资收益表!$B$20+投资收益表!$B$21+投资收益表!$B$22),(MOD((ROW(Kutools_Chart!D90)- 57),10)+1),NA())</f>
        <v>#VALUE!</v>
      </c>
      <c r="E90" s="40" t="e">
        <f>IF(((ROW(Kutools_Chart!E90)-56)/100)&lt;=(投资收益表!$B$21+投资收益表!$B$22),(MOD((ROW(Kutools_Chart!E90)- 57),10)+1),NA())</f>
        <v>#VALUE!</v>
      </c>
      <c r="F90" s="40">
        <f>IF(((ROW(Kutools_Chart!F90)-56)/100)&lt;=(投资收益表!$B$22),(MOD((ROW(Kutools_Chart!F90)- 57),10)+1),NA())</f>
        <v>4</v>
      </c>
    </row>
    <row r="91" spans="1:6">
      <c r="A91" s="40" t="e">
        <f>IF(((ROW(Kutools_Chart!A91)-56)/100)&lt;=(投资收益表!$B$17+投资收益表!$B$18+投资收益表!$B$19+投资收益表!$B$20+投资收益表!$B$21+投资收益表!$B$22),(MOD((ROW(Kutools_Chart!A91)- 57),10)+1),NA())</f>
        <v>#VALUE!</v>
      </c>
      <c r="B91" s="40" t="e">
        <f>IF(((ROW(Kutools_Chart!B91)-56)/100)&lt;=(投资收益表!$B$18+投资收益表!$B$19+投资收益表!$B$20+投资收益表!$B$21+投资收益表!$B$22),(MOD((ROW(Kutools_Chart!B91)- 57),10)+1),NA())</f>
        <v>#VALUE!</v>
      </c>
      <c r="C91" s="40" t="e">
        <f>IF(((ROW(Kutools_Chart!C91)-56)/100)&lt;=(投资收益表!$B$19+投资收益表!$B$20+投资收益表!$B$21+投资收益表!$B$22),(MOD((ROW(Kutools_Chart!C91)- 57),10)+1),NA())</f>
        <v>#VALUE!</v>
      </c>
      <c r="D91" s="40" t="e">
        <f>IF(((ROW(Kutools_Chart!D91)-56)/100)&lt;=(投资收益表!$B$20+投资收益表!$B$21+投资收益表!$B$22),(MOD((ROW(Kutools_Chart!D91)- 57),10)+1),NA())</f>
        <v>#VALUE!</v>
      </c>
      <c r="E91" s="40" t="e">
        <f>IF(((ROW(Kutools_Chart!E91)-56)/100)&lt;=(投资收益表!$B$21+投资收益表!$B$22),(MOD((ROW(Kutools_Chart!E91)- 57),10)+1),NA())</f>
        <v>#VALUE!</v>
      </c>
      <c r="F91" s="40">
        <f>IF(((ROW(Kutools_Chart!F91)-56)/100)&lt;=(投资收益表!$B$22),(MOD((ROW(Kutools_Chart!F91)- 57),10)+1),NA())</f>
        <v>5</v>
      </c>
    </row>
    <row r="92" spans="1:6">
      <c r="A92" s="40" t="e">
        <f>IF(((ROW(Kutools_Chart!A92)-56)/100)&lt;=(投资收益表!$B$17+投资收益表!$B$18+投资收益表!$B$19+投资收益表!$B$20+投资收益表!$B$21+投资收益表!$B$22),(MOD((ROW(Kutools_Chart!A92)- 57),10)+1),NA())</f>
        <v>#VALUE!</v>
      </c>
      <c r="B92" s="40" t="e">
        <f>IF(((ROW(Kutools_Chart!B92)-56)/100)&lt;=(投资收益表!$B$18+投资收益表!$B$19+投资收益表!$B$20+投资收益表!$B$21+投资收益表!$B$22),(MOD((ROW(Kutools_Chart!B92)- 57),10)+1),NA())</f>
        <v>#VALUE!</v>
      </c>
      <c r="C92" s="40" t="e">
        <f>IF(((ROW(Kutools_Chart!C92)-56)/100)&lt;=(投资收益表!$B$19+投资收益表!$B$20+投资收益表!$B$21+投资收益表!$B$22),(MOD((ROW(Kutools_Chart!C92)- 57),10)+1),NA())</f>
        <v>#VALUE!</v>
      </c>
      <c r="D92" s="40" t="e">
        <f>IF(((ROW(Kutools_Chart!D92)-56)/100)&lt;=(投资收益表!$B$20+投资收益表!$B$21+投资收益表!$B$22),(MOD((ROW(Kutools_Chart!D92)- 57),10)+1),NA())</f>
        <v>#VALUE!</v>
      </c>
      <c r="E92" s="40" t="e">
        <f>IF(((ROW(Kutools_Chart!E92)-56)/100)&lt;=(投资收益表!$B$21+投资收益表!$B$22),(MOD((ROW(Kutools_Chart!E92)- 57),10)+1),NA())</f>
        <v>#VALUE!</v>
      </c>
      <c r="F92" s="40">
        <f>IF(((ROW(Kutools_Chart!F92)-56)/100)&lt;=(投资收益表!$B$22),(MOD((ROW(Kutools_Chart!F92)- 57),10)+1),NA())</f>
        <v>6</v>
      </c>
    </row>
    <row r="93" spans="1:6">
      <c r="A93" s="40" t="e">
        <f>IF(((ROW(Kutools_Chart!A93)-56)/100)&lt;=(投资收益表!$B$17+投资收益表!$B$18+投资收益表!$B$19+投资收益表!$B$20+投资收益表!$B$21+投资收益表!$B$22),(MOD((ROW(Kutools_Chart!A93)- 57),10)+1),NA())</f>
        <v>#VALUE!</v>
      </c>
      <c r="B93" s="40" t="e">
        <f>IF(((ROW(Kutools_Chart!B93)-56)/100)&lt;=(投资收益表!$B$18+投资收益表!$B$19+投资收益表!$B$20+投资收益表!$B$21+投资收益表!$B$22),(MOD((ROW(Kutools_Chart!B93)- 57),10)+1),NA())</f>
        <v>#VALUE!</v>
      </c>
      <c r="C93" s="40" t="e">
        <f>IF(((ROW(Kutools_Chart!C93)-56)/100)&lt;=(投资收益表!$B$19+投资收益表!$B$20+投资收益表!$B$21+投资收益表!$B$22),(MOD((ROW(Kutools_Chart!C93)- 57),10)+1),NA())</f>
        <v>#VALUE!</v>
      </c>
      <c r="D93" s="40" t="e">
        <f>IF(((ROW(Kutools_Chart!D93)-56)/100)&lt;=(投资收益表!$B$20+投资收益表!$B$21+投资收益表!$B$22),(MOD((ROW(Kutools_Chart!D93)- 57),10)+1),NA())</f>
        <v>#VALUE!</v>
      </c>
      <c r="E93" s="40" t="e">
        <f>IF(((ROW(Kutools_Chart!E93)-56)/100)&lt;=(投资收益表!$B$21+投资收益表!$B$22),(MOD((ROW(Kutools_Chart!E93)- 57),10)+1),NA())</f>
        <v>#VALUE!</v>
      </c>
      <c r="F93" s="40">
        <f>IF(((ROW(Kutools_Chart!F93)-56)/100)&lt;=(投资收益表!$B$22),(MOD((ROW(Kutools_Chart!F93)- 57),10)+1),NA())</f>
        <v>7</v>
      </c>
    </row>
    <row r="94" spans="1:6">
      <c r="A94" s="40" t="e">
        <f>IF(((ROW(Kutools_Chart!A94)-56)/100)&lt;=(投资收益表!$B$17+投资收益表!$B$18+投资收益表!$B$19+投资收益表!$B$20+投资收益表!$B$21+投资收益表!$B$22),(MOD((ROW(Kutools_Chart!A94)- 57),10)+1),NA())</f>
        <v>#VALUE!</v>
      </c>
      <c r="B94" s="40" t="e">
        <f>IF(((ROW(Kutools_Chart!B94)-56)/100)&lt;=(投资收益表!$B$18+投资收益表!$B$19+投资收益表!$B$20+投资收益表!$B$21+投资收益表!$B$22),(MOD((ROW(Kutools_Chart!B94)- 57),10)+1),NA())</f>
        <v>#VALUE!</v>
      </c>
      <c r="C94" s="40" t="e">
        <f>IF(((ROW(Kutools_Chart!C94)-56)/100)&lt;=(投资收益表!$B$19+投资收益表!$B$20+投资收益表!$B$21+投资收益表!$B$22),(MOD((ROW(Kutools_Chart!C94)- 57),10)+1),NA())</f>
        <v>#VALUE!</v>
      </c>
      <c r="D94" s="40" t="e">
        <f>IF(((ROW(Kutools_Chart!D94)-56)/100)&lt;=(投资收益表!$B$20+投资收益表!$B$21+投资收益表!$B$22),(MOD((ROW(Kutools_Chart!D94)- 57),10)+1),NA())</f>
        <v>#VALUE!</v>
      </c>
      <c r="E94" s="40" t="e">
        <f>IF(((ROW(Kutools_Chart!E94)-56)/100)&lt;=(投资收益表!$B$21+投资收益表!$B$22),(MOD((ROW(Kutools_Chart!E94)- 57),10)+1),NA())</f>
        <v>#VALUE!</v>
      </c>
      <c r="F94" s="40">
        <f>IF(((ROW(Kutools_Chart!F94)-56)/100)&lt;=(投资收益表!$B$22),(MOD((ROW(Kutools_Chart!F94)- 57),10)+1),NA())</f>
        <v>8</v>
      </c>
    </row>
    <row r="95" spans="1:6">
      <c r="A95" s="40" t="e">
        <f>IF(((ROW(Kutools_Chart!A95)-56)/100)&lt;=(投资收益表!$B$17+投资收益表!$B$18+投资收益表!$B$19+投资收益表!$B$20+投资收益表!$B$21+投资收益表!$B$22),(MOD((ROW(Kutools_Chart!A95)- 57),10)+1),NA())</f>
        <v>#VALUE!</v>
      </c>
      <c r="B95" s="40" t="e">
        <f>IF(((ROW(Kutools_Chart!B95)-56)/100)&lt;=(投资收益表!$B$18+投资收益表!$B$19+投资收益表!$B$20+投资收益表!$B$21+投资收益表!$B$22),(MOD((ROW(Kutools_Chart!B95)- 57),10)+1),NA())</f>
        <v>#VALUE!</v>
      </c>
      <c r="C95" s="40" t="e">
        <f>IF(((ROW(Kutools_Chart!C95)-56)/100)&lt;=(投资收益表!$B$19+投资收益表!$B$20+投资收益表!$B$21+投资收益表!$B$22),(MOD((ROW(Kutools_Chart!C95)- 57),10)+1),NA())</f>
        <v>#VALUE!</v>
      </c>
      <c r="D95" s="40" t="e">
        <f>IF(((ROW(Kutools_Chart!D95)-56)/100)&lt;=(投资收益表!$B$20+投资收益表!$B$21+投资收益表!$B$22),(MOD((ROW(Kutools_Chart!D95)- 57),10)+1),NA())</f>
        <v>#VALUE!</v>
      </c>
      <c r="E95" s="40" t="e">
        <f>IF(((ROW(Kutools_Chart!E95)-56)/100)&lt;=(投资收益表!$B$21+投资收益表!$B$22),(MOD((ROW(Kutools_Chart!E95)- 57),10)+1),NA())</f>
        <v>#VALUE!</v>
      </c>
      <c r="F95" s="40">
        <f>IF(((ROW(Kutools_Chart!F95)-56)/100)&lt;=(投资收益表!$B$22),(MOD((ROW(Kutools_Chart!F95)- 57),10)+1),NA())</f>
        <v>9</v>
      </c>
    </row>
    <row r="96" spans="1:6">
      <c r="A96" s="40" t="e">
        <f>IF(((ROW(Kutools_Chart!A96)-56)/100)&lt;=(投资收益表!$B$17+投资收益表!$B$18+投资收益表!$B$19+投资收益表!$B$20+投资收益表!$B$21+投资收益表!$B$22),(MOD((ROW(Kutools_Chart!A96)- 57),10)+1),NA())</f>
        <v>#VALUE!</v>
      </c>
      <c r="B96" s="40" t="e">
        <f>IF(((ROW(Kutools_Chart!B96)-56)/100)&lt;=(投资收益表!$B$18+投资收益表!$B$19+投资收益表!$B$20+投资收益表!$B$21+投资收益表!$B$22),(MOD((ROW(Kutools_Chart!B96)- 57),10)+1),NA())</f>
        <v>#VALUE!</v>
      </c>
      <c r="C96" s="40" t="e">
        <f>IF(((ROW(Kutools_Chart!C96)-56)/100)&lt;=(投资收益表!$B$19+投资收益表!$B$20+投资收益表!$B$21+投资收益表!$B$22),(MOD((ROW(Kutools_Chart!C96)- 57),10)+1),NA())</f>
        <v>#VALUE!</v>
      </c>
      <c r="D96" s="40" t="e">
        <f>IF(((ROW(Kutools_Chart!D96)-56)/100)&lt;=(投资收益表!$B$20+投资收益表!$B$21+投资收益表!$B$22),(MOD((ROW(Kutools_Chart!D96)- 57),10)+1),NA())</f>
        <v>#VALUE!</v>
      </c>
      <c r="E96" s="40" t="e">
        <f>IF(((ROW(Kutools_Chart!E96)-56)/100)&lt;=(投资收益表!$B$21+投资收益表!$B$22),(MOD((ROW(Kutools_Chart!E96)- 57),10)+1),NA())</f>
        <v>#VALUE!</v>
      </c>
      <c r="F96" s="40">
        <f>IF(((ROW(Kutools_Chart!F96)-56)/100)&lt;=(投资收益表!$B$22),(MOD((ROW(Kutools_Chart!F96)- 57),10)+1),NA())</f>
        <v>10</v>
      </c>
    </row>
    <row r="97" spans="1:6">
      <c r="A97" s="40" t="e">
        <f>IF(((ROW(Kutools_Chart!A97)-56)/100)&lt;=(投资收益表!$B$17+投资收益表!$B$18+投资收益表!$B$19+投资收益表!$B$20+投资收益表!$B$21+投资收益表!$B$22),(MOD((ROW(Kutools_Chart!A97)- 57),10)+1),NA())</f>
        <v>#VALUE!</v>
      </c>
      <c r="B97" s="40" t="e">
        <f>IF(((ROW(Kutools_Chart!B97)-56)/100)&lt;=(投资收益表!$B$18+投资收益表!$B$19+投资收益表!$B$20+投资收益表!$B$21+投资收益表!$B$22),(MOD((ROW(Kutools_Chart!B97)- 57),10)+1),NA())</f>
        <v>#VALUE!</v>
      </c>
      <c r="C97" s="40" t="e">
        <f>IF(((ROW(Kutools_Chart!C97)-56)/100)&lt;=(投资收益表!$B$19+投资收益表!$B$20+投资收益表!$B$21+投资收益表!$B$22),(MOD((ROW(Kutools_Chart!C97)- 57),10)+1),NA())</f>
        <v>#VALUE!</v>
      </c>
      <c r="D97" s="40" t="e">
        <f>IF(((ROW(Kutools_Chart!D97)-56)/100)&lt;=(投资收益表!$B$20+投资收益表!$B$21+投资收益表!$B$22),(MOD((ROW(Kutools_Chart!D97)- 57),10)+1),NA())</f>
        <v>#VALUE!</v>
      </c>
      <c r="E97" s="40" t="e">
        <f>IF(((ROW(Kutools_Chart!E97)-56)/100)&lt;=(投资收益表!$B$21+投资收益表!$B$22),(MOD((ROW(Kutools_Chart!E97)- 57),10)+1),NA())</f>
        <v>#VALUE!</v>
      </c>
      <c r="F97" s="40">
        <f>IF(((ROW(Kutools_Chart!F97)-56)/100)&lt;=(投资收益表!$B$22),(MOD((ROW(Kutools_Chart!F97)- 57),10)+1),NA())</f>
        <v>1</v>
      </c>
    </row>
    <row r="98" spans="1:6">
      <c r="A98" s="40" t="e">
        <f>IF(((ROW(Kutools_Chart!A98)-56)/100)&lt;=(投资收益表!$B$17+投资收益表!$B$18+投资收益表!$B$19+投资收益表!$B$20+投资收益表!$B$21+投资收益表!$B$22),(MOD((ROW(Kutools_Chart!A98)- 57),10)+1),NA())</f>
        <v>#VALUE!</v>
      </c>
      <c r="B98" s="40" t="e">
        <f>IF(((ROW(Kutools_Chart!B98)-56)/100)&lt;=(投资收益表!$B$18+投资收益表!$B$19+投资收益表!$B$20+投资收益表!$B$21+投资收益表!$B$22),(MOD((ROW(Kutools_Chart!B98)- 57),10)+1),NA())</f>
        <v>#VALUE!</v>
      </c>
      <c r="C98" s="40" t="e">
        <f>IF(((ROW(Kutools_Chart!C98)-56)/100)&lt;=(投资收益表!$B$19+投资收益表!$B$20+投资收益表!$B$21+投资收益表!$B$22),(MOD((ROW(Kutools_Chart!C98)- 57),10)+1),NA())</f>
        <v>#VALUE!</v>
      </c>
      <c r="D98" s="40" t="e">
        <f>IF(((ROW(Kutools_Chart!D98)-56)/100)&lt;=(投资收益表!$B$20+投资收益表!$B$21+投资收益表!$B$22),(MOD((ROW(Kutools_Chart!D98)- 57),10)+1),NA())</f>
        <v>#VALUE!</v>
      </c>
      <c r="E98" s="40" t="e">
        <f>IF(((ROW(Kutools_Chart!E98)-56)/100)&lt;=(投资收益表!$B$21+投资收益表!$B$22),(MOD((ROW(Kutools_Chart!E98)- 57),10)+1),NA())</f>
        <v>#VALUE!</v>
      </c>
      <c r="F98" s="40">
        <f>IF(((ROW(Kutools_Chart!F98)-56)/100)&lt;=(投资收益表!$B$22),(MOD((ROW(Kutools_Chart!F98)- 57),10)+1),NA())</f>
        <v>2</v>
      </c>
    </row>
    <row r="99" spans="1:6">
      <c r="A99" s="40" t="e">
        <f>IF(((ROW(Kutools_Chart!A99)-56)/100)&lt;=(投资收益表!$B$17+投资收益表!$B$18+投资收益表!$B$19+投资收益表!$B$20+投资收益表!$B$21+投资收益表!$B$22),(MOD((ROW(Kutools_Chart!A99)- 57),10)+1),NA())</f>
        <v>#VALUE!</v>
      </c>
      <c r="B99" s="40" t="e">
        <f>IF(((ROW(Kutools_Chart!B99)-56)/100)&lt;=(投资收益表!$B$18+投资收益表!$B$19+投资收益表!$B$20+投资收益表!$B$21+投资收益表!$B$22),(MOD((ROW(Kutools_Chart!B99)- 57),10)+1),NA())</f>
        <v>#VALUE!</v>
      </c>
      <c r="C99" s="40" t="e">
        <f>IF(((ROW(Kutools_Chart!C99)-56)/100)&lt;=(投资收益表!$B$19+投资收益表!$B$20+投资收益表!$B$21+投资收益表!$B$22),(MOD((ROW(Kutools_Chart!C99)- 57),10)+1),NA())</f>
        <v>#VALUE!</v>
      </c>
      <c r="D99" s="40" t="e">
        <f>IF(((ROW(Kutools_Chart!D99)-56)/100)&lt;=(投资收益表!$B$20+投资收益表!$B$21+投资收益表!$B$22),(MOD((ROW(Kutools_Chart!D99)- 57),10)+1),NA())</f>
        <v>#VALUE!</v>
      </c>
      <c r="E99" s="40" t="e">
        <f>IF(((ROW(Kutools_Chart!E99)-56)/100)&lt;=(投资收益表!$B$21+投资收益表!$B$22),(MOD((ROW(Kutools_Chart!E99)- 57),10)+1),NA())</f>
        <v>#VALUE!</v>
      </c>
      <c r="F99" s="40">
        <f>IF(((ROW(Kutools_Chart!F99)-56)/100)&lt;=(投资收益表!$B$22),(MOD((ROW(Kutools_Chart!F99)- 57),10)+1),NA())</f>
        <v>3</v>
      </c>
    </row>
    <row r="100" spans="1:6">
      <c r="A100" s="40" t="e">
        <f>IF(((ROW(Kutools_Chart!A100)-56)/100)&lt;=(投资收益表!$B$17+投资收益表!$B$18+投资收益表!$B$19+投资收益表!$B$20+投资收益表!$B$21+投资收益表!$B$22),(MOD((ROW(Kutools_Chart!A100)- 57),10)+1),NA())</f>
        <v>#VALUE!</v>
      </c>
      <c r="B100" s="40" t="e">
        <f>IF(((ROW(Kutools_Chart!B100)-56)/100)&lt;=(投资收益表!$B$18+投资收益表!$B$19+投资收益表!$B$20+投资收益表!$B$21+投资收益表!$B$22),(MOD((ROW(Kutools_Chart!B100)- 57),10)+1),NA())</f>
        <v>#VALUE!</v>
      </c>
      <c r="C100" s="40" t="e">
        <f>IF(((ROW(Kutools_Chart!C100)-56)/100)&lt;=(投资收益表!$B$19+投资收益表!$B$20+投资收益表!$B$21+投资收益表!$B$22),(MOD((ROW(Kutools_Chart!C100)- 57),10)+1),NA())</f>
        <v>#VALUE!</v>
      </c>
      <c r="D100" s="40" t="e">
        <f>IF(((ROW(Kutools_Chart!D100)-56)/100)&lt;=(投资收益表!$B$20+投资收益表!$B$21+投资收益表!$B$22),(MOD((ROW(Kutools_Chart!D100)- 57),10)+1),NA())</f>
        <v>#VALUE!</v>
      </c>
      <c r="E100" s="40" t="e">
        <f>IF(((ROW(Kutools_Chart!E100)-56)/100)&lt;=(投资收益表!$B$21+投资收益表!$B$22),(MOD((ROW(Kutools_Chart!E100)- 57),10)+1),NA())</f>
        <v>#VALUE!</v>
      </c>
      <c r="F100" s="40">
        <f>IF(((ROW(Kutools_Chart!F100)-56)/100)&lt;=(投资收益表!$B$22),(MOD((ROW(Kutools_Chart!F100)- 57),10)+1),NA())</f>
        <v>4</v>
      </c>
    </row>
    <row r="101" spans="1:6">
      <c r="A101" s="40" t="e">
        <f>IF(((ROW(Kutools_Chart!A101)-56)/100)&lt;=(投资收益表!$B$17+投资收益表!$B$18+投资收益表!$B$19+投资收益表!$B$20+投资收益表!$B$21+投资收益表!$B$22),(MOD((ROW(Kutools_Chart!A101)- 57),10)+1),NA())</f>
        <v>#VALUE!</v>
      </c>
      <c r="B101" s="40" t="e">
        <f>IF(((ROW(Kutools_Chart!B101)-56)/100)&lt;=(投资收益表!$B$18+投资收益表!$B$19+投资收益表!$B$20+投资收益表!$B$21+投资收益表!$B$22),(MOD((ROW(Kutools_Chart!B101)- 57),10)+1),NA())</f>
        <v>#VALUE!</v>
      </c>
      <c r="C101" s="40" t="e">
        <f>IF(((ROW(Kutools_Chart!C101)-56)/100)&lt;=(投资收益表!$B$19+投资收益表!$B$20+投资收益表!$B$21+投资收益表!$B$22),(MOD((ROW(Kutools_Chart!C101)- 57),10)+1),NA())</f>
        <v>#VALUE!</v>
      </c>
      <c r="D101" s="40" t="e">
        <f>IF(((ROW(Kutools_Chart!D101)-56)/100)&lt;=(投资收益表!$B$20+投资收益表!$B$21+投资收益表!$B$22),(MOD((ROW(Kutools_Chart!D101)- 57),10)+1),NA())</f>
        <v>#VALUE!</v>
      </c>
      <c r="E101" s="40" t="e">
        <f>IF(((ROW(Kutools_Chart!E101)-56)/100)&lt;=(投资收益表!$B$21+投资收益表!$B$22),(MOD((ROW(Kutools_Chart!E101)- 57),10)+1),NA())</f>
        <v>#VALUE!</v>
      </c>
      <c r="F101" s="40">
        <f>IF(((ROW(Kutools_Chart!F101)-56)/100)&lt;=(投资收益表!$B$22),(MOD((ROW(Kutools_Chart!F101)- 57),10)+1),NA())</f>
        <v>5</v>
      </c>
    </row>
    <row r="102" spans="1:6">
      <c r="A102" s="40" t="e">
        <f>IF(((ROW(Kutools_Chart!A102)-56)/100)&lt;=(投资收益表!$B$17+投资收益表!$B$18+投资收益表!$B$19+投资收益表!$B$20+投资收益表!$B$21+投资收益表!$B$22),(MOD((ROW(Kutools_Chart!A102)- 57),10)+1),NA())</f>
        <v>#VALUE!</v>
      </c>
      <c r="B102" s="40" t="e">
        <f>IF(((ROW(Kutools_Chart!B102)-56)/100)&lt;=(投资收益表!$B$18+投资收益表!$B$19+投资收益表!$B$20+投资收益表!$B$21+投资收益表!$B$22),(MOD((ROW(Kutools_Chart!B102)- 57),10)+1),NA())</f>
        <v>#VALUE!</v>
      </c>
      <c r="C102" s="40" t="e">
        <f>IF(((ROW(Kutools_Chart!C102)-56)/100)&lt;=(投资收益表!$B$19+投资收益表!$B$20+投资收益表!$B$21+投资收益表!$B$22),(MOD((ROW(Kutools_Chart!C102)- 57),10)+1),NA())</f>
        <v>#VALUE!</v>
      </c>
      <c r="D102" s="40" t="e">
        <f>IF(((ROW(Kutools_Chart!D102)-56)/100)&lt;=(投资收益表!$B$20+投资收益表!$B$21+投资收益表!$B$22),(MOD((ROW(Kutools_Chart!D102)- 57),10)+1),NA())</f>
        <v>#VALUE!</v>
      </c>
      <c r="E102" s="40" t="e">
        <f>IF(((ROW(Kutools_Chart!E102)-56)/100)&lt;=(投资收益表!$B$21+投资收益表!$B$22),(MOD((ROW(Kutools_Chart!E102)- 57),10)+1),NA())</f>
        <v>#VALUE!</v>
      </c>
      <c r="F102" s="40">
        <f>IF(((ROW(Kutools_Chart!F102)-56)/100)&lt;=(投资收益表!$B$22),(MOD((ROW(Kutools_Chart!F102)- 57),10)+1),NA())</f>
        <v>6</v>
      </c>
    </row>
    <row r="103" spans="1:6">
      <c r="A103" s="40" t="e">
        <f>IF(((ROW(Kutools_Chart!A103)-56)/100)&lt;=(投资收益表!$B$17+投资收益表!$B$18+投资收益表!$B$19+投资收益表!$B$20+投资收益表!$B$21+投资收益表!$B$22),(MOD((ROW(Kutools_Chart!A103)- 57),10)+1),NA())</f>
        <v>#VALUE!</v>
      </c>
      <c r="B103" s="40" t="e">
        <f>IF(((ROW(Kutools_Chart!B103)-56)/100)&lt;=(投资收益表!$B$18+投资收益表!$B$19+投资收益表!$B$20+投资收益表!$B$21+投资收益表!$B$22),(MOD((ROW(Kutools_Chart!B103)- 57),10)+1),NA())</f>
        <v>#VALUE!</v>
      </c>
      <c r="C103" s="40" t="e">
        <f>IF(((ROW(Kutools_Chart!C103)-56)/100)&lt;=(投资收益表!$B$19+投资收益表!$B$20+投资收益表!$B$21+投资收益表!$B$22),(MOD((ROW(Kutools_Chart!C103)- 57),10)+1),NA())</f>
        <v>#VALUE!</v>
      </c>
      <c r="D103" s="40" t="e">
        <f>IF(((ROW(Kutools_Chart!D103)-56)/100)&lt;=(投资收益表!$B$20+投资收益表!$B$21+投资收益表!$B$22),(MOD((ROW(Kutools_Chart!D103)- 57),10)+1),NA())</f>
        <v>#VALUE!</v>
      </c>
      <c r="E103" s="40" t="e">
        <f>IF(((ROW(Kutools_Chart!E103)-56)/100)&lt;=(投资收益表!$B$21+投资收益表!$B$22),(MOD((ROW(Kutools_Chart!E103)- 57),10)+1),NA())</f>
        <v>#VALUE!</v>
      </c>
      <c r="F103" s="40">
        <f>IF(((ROW(Kutools_Chart!F103)-56)/100)&lt;=(投资收益表!$B$22),(MOD((ROW(Kutools_Chart!F103)- 57),10)+1),NA())</f>
        <v>7</v>
      </c>
    </row>
    <row r="104" spans="1:6">
      <c r="A104" s="40" t="e">
        <f>IF(((ROW(Kutools_Chart!A104)-56)/100)&lt;=(投资收益表!$B$17+投资收益表!$B$18+投资收益表!$B$19+投资收益表!$B$20+投资收益表!$B$21+投资收益表!$B$22),(MOD((ROW(Kutools_Chart!A104)- 57),10)+1),NA())</f>
        <v>#VALUE!</v>
      </c>
      <c r="B104" s="40" t="e">
        <f>IF(((ROW(Kutools_Chart!B104)-56)/100)&lt;=(投资收益表!$B$18+投资收益表!$B$19+投资收益表!$B$20+投资收益表!$B$21+投资收益表!$B$22),(MOD((ROW(Kutools_Chart!B104)- 57),10)+1),NA())</f>
        <v>#VALUE!</v>
      </c>
      <c r="C104" s="40" t="e">
        <f>IF(((ROW(Kutools_Chart!C104)-56)/100)&lt;=(投资收益表!$B$19+投资收益表!$B$20+投资收益表!$B$21+投资收益表!$B$22),(MOD((ROW(Kutools_Chart!C104)- 57),10)+1),NA())</f>
        <v>#VALUE!</v>
      </c>
      <c r="D104" s="40" t="e">
        <f>IF(((ROW(Kutools_Chart!D104)-56)/100)&lt;=(投资收益表!$B$20+投资收益表!$B$21+投资收益表!$B$22),(MOD((ROW(Kutools_Chart!D104)- 57),10)+1),NA())</f>
        <v>#VALUE!</v>
      </c>
      <c r="E104" s="40" t="e">
        <f>IF(((ROW(Kutools_Chart!E104)-56)/100)&lt;=(投资收益表!$B$21+投资收益表!$B$22),(MOD((ROW(Kutools_Chart!E104)- 57),10)+1),NA())</f>
        <v>#VALUE!</v>
      </c>
      <c r="F104" s="40">
        <f>IF(((ROW(Kutools_Chart!F104)-56)/100)&lt;=(投资收益表!$B$22),(MOD((ROW(Kutools_Chart!F104)- 57),10)+1),NA())</f>
        <v>8</v>
      </c>
    </row>
    <row r="105" spans="1:6">
      <c r="A105" s="40" t="e">
        <f>IF(((ROW(Kutools_Chart!A105)-56)/100)&lt;=(投资收益表!$B$17+投资收益表!$B$18+投资收益表!$B$19+投资收益表!$B$20+投资收益表!$B$21+投资收益表!$B$22),(MOD((ROW(Kutools_Chart!A105)- 57),10)+1),NA())</f>
        <v>#VALUE!</v>
      </c>
      <c r="B105" s="40" t="e">
        <f>IF(((ROW(Kutools_Chart!B105)-56)/100)&lt;=(投资收益表!$B$18+投资收益表!$B$19+投资收益表!$B$20+投资收益表!$B$21+投资收益表!$B$22),(MOD((ROW(Kutools_Chart!B105)- 57),10)+1),NA())</f>
        <v>#VALUE!</v>
      </c>
      <c r="C105" s="40" t="e">
        <f>IF(((ROW(Kutools_Chart!C105)-56)/100)&lt;=(投资收益表!$B$19+投资收益表!$B$20+投资收益表!$B$21+投资收益表!$B$22),(MOD((ROW(Kutools_Chart!C105)- 57),10)+1),NA())</f>
        <v>#VALUE!</v>
      </c>
      <c r="D105" s="40" t="e">
        <f>IF(((ROW(Kutools_Chart!D105)-56)/100)&lt;=(投资收益表!$B$20+投资收益表!$B$21+投资收益表!$B$22),(MOD((ROW(Kutools_Chart!D105)- 57),10)+1),NA())</f>
        <v>#VALUE!</v>
      </c>
      <c r="E105" s="40" t="e">
        <f>IF(((ROW(Kutools_Chart!E105)-56)/100)&lt;=(投资收益表!$B$21+投资收益表!$B$22),(MOD((ROW(Kutools_Chart!E105)- 57),10)+1),NA())</f>
        <v>#VALUE!</v>
      </c>
      <c r="F105" s="40">
        <f>IF(((ROW(Kutools_Chart!F105)-56)/100)&lt;=(投资收益表!$B$22),(MOD((ROW(Kutools_Chart!F105)- 57),10)+1),NA())</f>
        <v>9</v>
      </c>
    </row>
    <row r="106" spans="1:6">
      <c r="A106" s="40" t="e">
        <f>IF(((ROW(Kutools_Chart!A106)-56)/100)&lt;=(投资收益表!$B$17+投资收益表!$B$18+投资收益表!$B$19+投资收益表!$B$20+投资收益表!$B$21+投资收益表!$B$22),(MOD((ROW(Kutools_Chart!A106)- 57),10)+1),NA())</f>
        <v>#VALUE!</v>
      </c>
      <c r="B106" s="40" t="e">
        <f>IF(((ROW(Kutools_Chart!B106)-56)/100)&lt;=(投资收益表!$B$18+投资收益表!$B$19+投资收益表!$B$20+投资收益表!$B$21+投资收益表!$B$22),(MOD((ROW(Kutools_Chart!B106)- 57),10)+1),NA())</f>
        <v>#VALUE!</v>
      </c>
      <c r="C106" s="40" t="e">
        <f>IF(((ROW(Kutools_Chart!C106)-56)/100)&lt;=(投资收益表!$B$19+投资收益表!$B$20+投资收益表!$B$21+投资收益表!$B$22),(MOD((ROW(Kutools_Chart!C106)- 57),10)+1),NA())</f>
        <v>#VALUE!</v>
      </c>
      <c r="D106" s="40" t="e">
        <f>IF(((ROW(Kutools_Chart!D106)-56)/100)&lt;=(投资收益表!$B$20+投资收益表!$B$21+投资收益表!$B$22),(MOD((ROW(Kutools_Chart!D106)- 57),10)+1),NA())</f>
        <v>#VALUE!</v>
      </c>
      <c r="E106" s="40" t="e">
        <f>IF(((ROW(Kutools_Chart!E106)-56)/100)&lt;=(投资收益表!$B$21+投资收益表!$B$22),(MOD((ROW(Kutools_Chart!E106)- 57),10)+1),NA())</f>
        <v>#VALUE!</v>
      </c>
      <c r="F106" s="40">
        <f>IF(((ROW(Kutools_Chart!F106)-56)/100)&lt;=(投资收益表!$B$22),(MOD((ROW(Kutools_Chart!F106)- 57),10)+1),NA())</f>
        <v>10</v>
      </c>
    </row>
    <row r="107" spans="1:6">
      <c r="A107" s="40" t="e">
        <f>IF(((ROW(Kutools_Chart!A107)-56)/100)&lt;=(投资收益表!$B$17+投资收益表!$B$18+投资收益表!$B$19+投资收益表!$B$20+投资收益表!$B$21+投资收益表!$B$22),(MOD((ROW(Kutools_Chart!A107)- 57),10)+1),NA())</f>
        <v>#VALUE!</v>
      </c>
      <c r="B107" s="40" t="e">
        <f>IF(((ROW(Kutools_Chart!B107)-56)/100)&lt;=(投资收益表!$B$18+投资收益表!$B$19+投资收益表!$B$20+投资收益表!$B$21+投资收益表!$B$22),(MOD((ROW(Kutools_Chart!B107)- 57),10)+1),NA())</f>
        <v>#VALUE!</v>
      </c>
      <c r="C107" s="40" t="e">
        <f>IF(((ROW(Kutools_Chart!C107)-56)/100)&lt;=(投资收益表!$B$19+投资收益表!$B$20+投资收益表!$B$21+投资收益表!$B$22),(MOD((ROW(Kutools_Chart!C107)- 57),10)+1),NA())</f>
        <v>#VALUE!</v>
      </c>
      <c r="D107" s="40" t="e">
        <f>IF(((ROW(Kutools_Chart!D107)-56)/100)&lt;=(投资收益表!$B$20+投资收益表!$B$21+投资收益表!$B$22),(MOD((ROW(Kutools_Chart!D107)- 57),10)+1),NA())</f>
        <v>#VALUE!</v>
      </c>
      <c r="E107" s="40" t="e">
        <f>IF(((ROW(Kutools_Chart!E107)-56)/100)&lt;=(投资收益表!$B$21+投资收益表!$B$22),(MOD((ROW(Kutools_Chart!E107)- 57),10)+1),NA())</f>
        <v>#VALUE!</v>
      </c>
      <c r="F107" s="40">
        <f>IF(((ROW(Kutools_Chart!F107)-56)/100)&lt;=(投资收益表!$B$22),(MOD((ROW(Kutools_Chart!F107)- 57),10)+1),NA())</f>
        <v>1</v>
      </c>
    </row>
    <row r="108" spans="1:6">
      <c r="A108" s="40" t="e">
        <f>IF(((ROW(Kutools_Chart!A108)-56)/100)&lt;=(投资收益表!$B$17+投资收益表!$B$18+投资收益表!$B$19+投资收益表!$B$20+投资收益表!$B$21+投资收益表!$B$22),(MOD((ROW(Kutools_Chart!A108)- 57),10)+1),NA())</f>
        <v>#VALUE!</v>
      </c>
      <c r="B108" s="40" t="e">
        <f>IF(((ROW(Kutools_Chart!B108)-56)/100)&lt;=(投资收益表!$B$18+投资收益表!$B$19+投资收益表!$B$20+投资收益表!$B$21+投资收益表!$B$22),(MOD((ROW(Kutools_Chart!B108)- 57),10)+1),NA())</f>
        <v>#VALUE!</v>
      </c>
      <c r="C108" s="40" t="e">
        <f>IF(((ROW(Kutools_Chart!C108)-56)/100)&lt;=(投资收益表!$B$19+投资收益表!$B$20+投资收益表!$B$21+投资收益表!$B$22),(MOD((ROW(Kutools_Chart!C108)- 57),10)+1),NA())</f>
        <v>#VALUE!</v>
      </c>
      <c r="D108" s="40" t="e">
        <f>IF(((ROW(Kutools_Chart!D108)-56)/100)&lt;=(投资收益表!$B$20+投资收益表!$B$21+投资收益表!$B$22),(MOD((ROW(Kutools_Chart!D108)- 57),10)+1),NA())</f>
        <v>#VALUE!</v>
      </c>
      <c r="E108" s="40" t="e">
        <f>IF(((ROW(Kutools_Chart!E108)-56)/100)&lt;=(投资收益表!$B$21+投资收益表!$B$22),(MOD((ROW(Kutools_Chart!E108)- 57),10)+1),NA())</f>
        <v>#VALUE!</v>
      </c>
      <c r="F108" s="40">
        <f>IF(((ROW(Kutools_Chart!F108)-56)/100)&lt;=(投资收益表!$B$22),(MOD((ROW(Kutools_Chart!F108)- 57),10)+1),NA())</f>
        <v>2</v>
      </c>
    </row>
    <row r="109" spans="1:6">
      <c r="A109" s="40" t="e">
        <f>IF(((ROW(Kutools_Chart!A109)-56)/100)&lt;=(投资收益表!$B$17+投资收益表!$B$18+投资收益表!$B$19+投资收益表!$B$20+投资收益表!$B$21+投资收益表!$B$22),(MOD((ROW(Kutools_Chart!A109)- 57),10)+1),NA())</f>
        <v>#VALUE!</v>
      </c>
      <c r="B109" s="40" t="e">
        <f>IF(((ROW(Kutools_Chart!B109)-56)/100)&lt;=(投资收益表!$B$18+投资收益表!$B$19+投资收益表!$B$20+投资收益表!$B$21+投资收益表!$B$22),(MOD((ROW(Kutools_Chart!B109)- 57),10)+1),NA())</f>
        <v>#VALUE!</v>
      </c>
      <c r="C109" s="40" t="e">
        <f>IF(((ROW(Kutools_Chart!C109)-56)/100)&lt;=(投资收益表!$B$19+投资收益表!$B$20+投资收益表!$B$21+投资收益表!$B$22),(MOD((ROW(Kutools_Chart!C109)- 57),10)+1),NA())</f>
        <v>#VALUE!</v>
      </c>
      <c r="D109" s="40" t="e">
        <f>IF(((ROW(Kutools_Chart!D109)-56)/100)&lt;=(投资收益表!$B$20+投资收益表!$B$21+投资收益表!$B$22),(MOD((ROW(Kutools_Chart!D109)- 57),10)+1),NA())</f>
        <v>#VALUE!</v>
      </c>
      <c r="E109" s="40" t="e">
        <f>IF(((ROW(Kutools_Chart!E109)-56)/100)&lt;=(投资收益表!$B$21+投资收益表!$B$22),(MOD((ROW(Kutools_Chart!E109)- 57),10)+1),NA())</f>
        <v>#VALUE!</v>
      </c>
      <c r="F109" s="40">
        <f>IF(((ROW(Kutools_Chart!F109)-56)/100)&lt;=(投资收益表!$B$22),(MOD((ROW(Kutools_Chart!F109)- 57),10)+1),NA())</f>
        <v>3</v>
      </c>
    </row>
    <row r="110" spans="1:6">
      <c r="A110" s="40" t="e">
        <f>IF(((ROW(Kutools_Chart!A110)-56)/100)&lt;=(投资收益表!$B$17+投资收益表!$B$18+投资收益表!$B$19+投资收益表!$B$20+投资收益表!$B$21+投资收益表!$B$22),(MOD((ROW(Kutools_Chart!A110)- 57),10)+1),NA())</f>
        <v>#VALUE!</v>
      </c>
      <c r="B110" s="40" t="e">
        <f>IF(((ROW(Kutools_Chart!B110)-56)/100)&lt;=(投资收益表!$B$18+投资收益表!$B$19+投资收益表!$B$20+投资收益表!$B$21+投资收益表!$B$22),(MOD((ROW(Kutools_Chart!B110)- 57),10)+1),NA())</f>
        <v>#VALUE!</v>
      </c>
      <c r="C110" s="40" t="e">
        <f>IF(((ROW(Kutools_Chart!C110)-56)/100)&lt;=(投资收益表!$B$19+投资收益表!$B$20+投资收益表!$B$21+投资收益表!$B$22),(MOD((ROW(Kutools_Chart!C110)- 57),10)+1),NA())</f>
        <v>#VALUE!</v>
      </c>
      <c r="D110" s="40" t="e">
        <f>IF(((ROW(Kutools_Chart!D110)-56)/100)&lt;=(投资收益表!$B$20+投资收益表!$B$21+投资收益表!$B$22),(MOD((ROW(Kutools_Chart!D110)- 57),10)+1),NA())</f>
        <v>#VALUE!</v>
      </c>
      <c r="E110" s="40" t="e">
        <f>IF(((ROW(Kutools_Chart!E110)-56)/100)&lt;=(投资收益表!$B$21+投资收益表!$B$22),(MOD((ROW(Kutools_Chart!E110)- 57),10)+1),NA())</f>
        <v>#VALUE!</v>
      </c>
      <c r="F110" s="40">
        <f>IF(((ROW(Kutools_Chart!F110)-56)/100)&lt;=(投资收益表!$B$22),(MOD((ROW(Kutools_Chart!F110)- 57),10)+1),NA())</f>
        <v>4</v>
      </c>
    </row>
    <row r="111" spans="1:6">
      <c r="A111" s="40" t="e">
        <f>IF(((ROW(Kutools_Chart!A111)-56)/100)&lt;=(投资收益表!$B$17+投资收益表!$B$18+投资收益表!$B$19+投资收益表!$B$20+投资收益表!$B$21+投资收益表!$B$22),(MOD((ROW(Kutools_Chart!A111)- 57),10)+1),NA())</f>
        <v>#VALUE!</v>
      </c>
      <c r="B111" s="40" t="e">
        <f>IF(((ROW(Kutools_Chart!B111)-56)/100)&lt;=(投资收益表!$B$18+投资收益表!$B$19+投资收益表!$B$20+投资收益表!$B$21+投资收益表!$B$22),(MOD((ROW(Kutools_Chart!B111)- 57),10)+1),NA())</f>
        <v>#VALUE!</v>
      </c>
      <c r="C111" s="40" t="e">
        <f>IF(((ROW(Kutools_Chart!C111)-56)/100)&lt;=(投资收益表!$B$19+投资收益表!$B$20+投资收益表!$B$21+投资收益表!$B$22),(MOD((ROW(Kutools_Chart!C111)- 57),10)+1),NA())</f>
        <v>#VALUE!</v>
      </c>
      <c r="D111" s="40" t="e">
        <f>IF(((ROW(Kutools_Chart!D111)-56)/100)&lt;=(投资收益表!$B$20+投资收益表!$B$21+投资收益表!$B$22),(MOD((ROW(Kutools_Chart!D111)- 57),10)+1),NA())</f>
        <v>#VALUE!</v>
      </c>
      <c r="E111" s="40" t="e">
        <f>IF(((ROW(Kutools_Chart!E111)-56)/100)&lt;=(投资收益表!$B$21+投资收益表!$B$22),(MOD((ROW(Kutools_Chart!E111)- 57),10)+1),NA())</f>
        <v>#VALUE!</v>
      </c>
      <c r="F111" s="40">
        <f>IF(((ROW(Kutools_Chart!F111)-56)/100)&lt;=(投资收益表!$B$22),(MOD((ROW(Kutools_Chart!F111)- 57),10)+1),NA())</f>
        <v>5</v>
      </c>
    </row>
    <row r="112" spans="1:6">
      <c r="A112" s="40" t="e">
        <f>IF(((ROW(Kutools_Chart!A112)-56)/100)&lt;=(投资收益表!$B$17+投资收益表!$B$18+投资收益表!$B$19+投资收益表!$B$20+投资收益表!$B$21+投资收益表!$B$22),(MOD((ROW(Kutools_Chart!A112)- 57),10)+1),NA())</f>
        <v>#VALUE!</v>
      </c>
      <c r="B112" s="40" t="e">
        <f>IF(((ROW(Kutools_Chart!B112)-56)/100)&lt;=(投资收益表!$B$18+投资收益表!$B$19+投资收益表!$B$20+投资收益表!$B$21+投资收益表!$B$22),(MOD((ROW(Kutools_Chart!B112)- 57),10)+1),NA())</f>
        <v>#VALUE!</v>
      </c>
      <c r="C112" s="40" t="e">
        <f>IF(((ROW(Kutools_Chart!C112)-56)/100)&lt;=(投资收益表!$B$19+投资收益表!$B$20+投资收益表!$B$21+投资收益表!$B$22),(MOD((ROW(Kutools_Chart!C112)- 57),10)+1),NA())</f>
        <v>#VALUE!</v>
      </c>
      <c r="D112" s="40" t="e">
        <f>IF(((ROW(Kutools_Chart!D112)-56)/100)&lt;=(投资收益表!$B$20+投资收益表!$B$21+投资收益表!$B$22),(MOD((ROW(Kutools_Chart!D112)- 57),10)+1),NA())</f>
        <v>#VALUE!</v>
      </c>
      <c r="E112" s="40" t="e">
        <f>IF(((ROW(Kutools_Chart!E112)-56)/100)&lt;=(投资收益表!$B$21+投资收益表!$B$22),(MOD((ROW(Kutools_Chart!E112)- 57),10)+1),NA())</f>
        <v>#VALUE!</v>
      </c>
      <c r="F112" s="40">
        <f>IF(((ROW(Kutools_Chart!F112)-56)/100)&lt;=(投资收益表!$B$22),(MOD((ROW(Kutools_Chart!F112)- 57),10)+1),NA())</f>
        <v>6</v>
      </c>
    </row>
    <row r="113" spans="1:6">
      <c r="A113" s="40" t="e">
        <f>IF(((ROW(Kutools_Chart!A113)-56)/100)&lt;=(投资收益表!$B$17+投资收益表!$B$18+投资收益表!$B$19+投资收益表!$B$20+投资收益表!$B$21+投资收益表!$B$22),(MOD((ROW(Kutools_Chart!A113)- 57),10)+1),NA())</f>
        <v>#VALUE!</v>
      </c>
      <c r="B113" s="40" t="e">
        <f>IF(((ROW(Kutools_Chart!B113)-56)/100)&lt;=(投资收益表!$B$18+投资收益表!$B$19+投资收益表!$B$20+投资收益表!$B$21+投资收益表!$B$22),(MOD((ROW(Kutools_Chart!B113)- 57),10)+1),NA())</f>
        <v>#VALUE!</v>
      </c>
      <c r="C113" s="40" t="e">
        <f>IF(((ROW(Kutools_Chart!C113)-56)/100)&lt;=(投资收益表!$B$19+投资收益表!$B$20+投资收益表!$B$21+投资收益表!$B$22),(MOD((ROW(Kutools_Chart!C113)- 57),10)+1),NA())</f>
        <v>#VALUE!</v>
      </c>
      <c r="D113" s="40" t="e">
        <f>IF(((ROW(Kutools_Chart!D113)-56)/100)&lt;=(投资收益表!$B$20+投资收益表!$B$21+投资收益表!$B$22),(MOD((ROW(Kutools_Chart!D113)- 57),10)+1),NA())</f>
        <v>#VALUE!</v>
      </c>
      <c r="E113" s="40" t="e">
        <f>IF(((ROW(Kutools_Chart!E113)-56)/100)&lt;=(投资收益表!$B$21+投资收益表!$B$22),(MOD((ROW(Kutools_Chart!E113)- 57),10)+1),NA())</f>
        <v>#VALUE!</v>
      </c>
      <c r="F113" s="40">
        <f>IF(((ROW(Kutools_Chart!F113)-56)/100)&lt;=(投资收益表!$B$22),(MOD((ROW(Kutools_Chart!F113)- 57),10)+1),NA())</f>
        <v>7</v>
      </c>
    </row>
    <row r="114" spans="1:6">
      <c r="A114" s="40" t="e">
        <f>IF(((ROW(Kutools_Chart!A114)-56)/100)&lt;=(投资收益表!$B$17+投资收益表!$B$18+投资收益表!$B$19+投资收益表!$B$20+投资收益表!$B$21+投资收益表!$B$22),(MOD((ROW(Kutools_Chart!A114)- 57),10)+1),NA())</f>
        <v>#VALUE!</v>
      </c>
      <c r="B114" s="40" t="e">
        <f>IF(((ROW(Kutools_Chart!B114)-56)/100)&lt;=(投资收益表!$B$18+投资收益表!$B$19+投资收益表!$B$20+投资收益表!$B$21+投资收益表!$B$22),(MOD((ROW(Kutools_Chart!B114)- 57),10)+1),NA())</f>
        <v>#VALUE!</v>
      </c>
      <c r="C114" s="40" t="e">
        <f>IF(((ROW(Kutools_Chart!C114)-56)/100)&lt;=(投资收益表!$B$19+投资收益表!$B$20+投资收益表!$B$21+投资收益表!$B$22),(MOD((ROW(Kutools_Chart!C114)- 57),10)+1),NA())</f>
        <v>#VALUE!</v>
      </c>
      <c r="D114" s="40" t="e">
        <f>IF(((ROW(Kutools_Chart!D114)-56)/100)&lt;=(投资收益表!$B$20+投资收益表!$B$21+投资收益表!$B$22),(MOD((ROW(Kutools_Chart!D114)- 57),10)+1),NA())</f>
        <v>#VALUE!</v>
      </c>
      <c r="E114" s="40" t="e">
        <f>IF(((ROW(Kutools_Chart!E114)-56)/100)&lt;=(投资收益表!$B$21+投资收益表!$B$22),(MOD((ROW(Kutools_Chart!E114)- 57),10)+1),NA())</f>
        <v>#VALUE!</v>
      </c>
      <c r="F114" s="40">
        <f>IF(((ROW(Kutools_Chart!F114)-56)/100)&lt;=(投资收益表!$B$22),(MOD((ROW(Kutools_Chart!F114)- 57),10)+1),NA())</f>
        <v>8</v>
      </c>
    </row>
    <row r="115" spans="1:6">
      <c r="A115" s="40" t="e">
        <f>IF(((ROW(Kutools_Chart!A115)-56)/100)&lt;=(投资收益表!$B$17+投资收益表!$B$18+投资收益表!$B$19+投资收益表!$B$20+投资收益表!$B$21+投资收益表!$B$22),(MOD((ROW(Kutools_Chart!A115)- 57),10)+1),NA())</f>
        <v>#VALUE!</v>
      </c>
      <c r="B115" s="40" t="e">
        <f>IF(((ROW(Kutools_Chart!B115)-56)/100)&lt;=(投资收益表!$B$18+投资收益表!$B$19+投资收益表!$B$20+投资收益表!$B$21+投资收益表!$B$22),(MOD((ROW(Kutools_Chart!B115)- 57),10)+1),NA())</f>
        <v>#VALUE!</v>
      </c>
      <c r="C115" s="40" t="e">
        <f>IF(((ROW(Kutools_Chart!C115)-56)/100)&lt;=(投资收益表!$B$19+投资收益表!$B$20+投资收益表!$B$21+投资收益表!$B$22),(MOD((ROW(Kutools_Chart!C115)- 57),10)+1),NA())</f>
        <v>#VALUE!</v>
      </c>
      <c r="D115" s="40" t="e">
        <f>IF(((ROW(Kutools_Chart!D115)-56)/100)&lt;=(投资收益表!$B$20+投资收益表!$B$21+投资收益表!$B$22),(MOD((ROW(Kutools_Chart!D115)- 57),10)+1),NA())</f>
        <v>#VALUE!</v>
      </c>
      <c r="E115" s="40" t="e">
        <f>IF(((ROW(Kutools_Chart!E115)-56)/100)&lt;=(投资收益表!$B$21+投资收益表!$B$22),(MOD((ROW(Kutools_Chart!E115)- 57),10)+1),NA())</f>
        <v>#VALUE!</v>
      </c>
      <c r="F115" s="40">
        <f>IF(((ROW(Kutools_Chart!F115)-56)/100)&lt;=(投资收益表!$B$22),(MOD((ROW(Kutools_Chart!F115)- 57),10)+1),NA())</f>
        <v>9</v>
      </c>
    </row>
    <row r="116" spans="1:6">
      <c r="A116" s="40" t="e">
        <f>IF(((ROW(Kutools_Chart!A116)-56)/100)&lt;=(投资收益表!$B$17+投资收益表!$B$18+投资收益表!$B$19+投资收益表!$B$20+投资收益表!$B$21+投资收益表!$B$22),(MOD((ROW(Kutools_Chart!A116)- 57),10)+1),NA())</f>
        <v>#VALUE!</v>
      </c>
      <c r="B116" s="40" t="e">
        <f>IF(((ROW(Kutools_Chart!B116)-56)/100)&lt;=(投资收益表!$B$18+投资收益表!$B$19+投资收益表!$B$20+投资收益表!$B$21+投资收益表!$B$22),(MOD((ROW(Kutools_Chart!B116)- 57),10)+1),NA())</f>
        <v>#VALUE!</v>
      </c>
      <c r="C116" s="40" t="e">
        <f>IF(((ROW(Kutools_Chart!C116)-56)/100)&lt;=(投资收益表!$B$19+投资收益表!$B$20+投资收益表!$B$21+投资收益表!$B$22),(MOD((ROW(Kutools_Chart!C116)- 57),10)+1),NA())</f>
        <v>#VALUE!</v>
      </c>
      <c r="D116" s="40" t="e">
        <f>IF(((ROW(Kutools_Chart!D116)-56)/100)&lt;=(投资收益表!$B$20+投资收益表!$B$21+投资收益表!$B$22),(MOD((ROW(Kutools_Chart!D116)- 57),10)+1),NA())</f>
        <v>#VALUE!</v>
      </c>
      <c r="E116" s="40" t="e">
        <f>IF(((ROW(Kutools_Chart!E116)-56)/100)&lt;=(投资收益表!$B$21+投资收益表!$B$22),(MOD((ROW(Kutools_Chart!E116)- 57),10)+1),NA())</f>
        <v>#VALUE!</v>
      </c>
      <c r="F116" s="40">
        <f>IF(((ROW(Kutools_Chart!F116)-56)/100)&lt;=(投资收益表!$B$22),(MOD((ROW(Kutools_Chart!F116)- 57),10)+1),NA())</f>
        <v>10</v>
      </c>
    </row>
    <row r="117" spans="1:6">
      <c r="A117" s="40" t="e">
        <f>IF(((ROW(Kutools_Chart!A117)-56)/100)&lt;=(投资收益表!$B$17+投资收益表!$B$18+投资收益表!$B$19+投资收益表!$B$20+投资收益表!$B$21+投资收益表!$B$22),(MOD((ROW(Kutools_Chart!A117)- 57),10)+1),NA())</f>
        <v>#VALUE!</v>
      </c>
      <c r="B117" s="40" t="e">
        <f>IF(((ROW(Kutools_Chart!B117)-56)/100)&lt;=(投资收益表!$B$18+投资收益表!$B$19+投资收益表!$B$20+投资收益表!$B$21+投资收益表!$B$22),(MOD((ROW(Kutools_Chart!B117)- 57),10)+1),NA())</f>
        <v>#VALUE!</v>
      </c>
      <c r="C117" s="40" t="e">
        <f>IF(((ROW(Kutools_Chart!C117)-56)/100)&lt;=(投资收益表!$B$19+投资收益表!$B$20+投资收益表!$B$21+投资收益表!$B$22),(MOD((ROW(Kutools_Chart!C117)- 57),10)+1),NA())</f>
        <v>#VALUE!</v>
      </c>
      <c r="D117" s="40" t="e">
        <f>IF(((ROW(Kutools_Chart!D117)-56)/100)&lt;=(投资收益表!$B$20+投资收益表!$B$21+投资收益表!$B$22),(MOD((ROW(Kutools_Chart!D117)- 57),10)+1),NA())</f>
        <v>#VALUE!</v>
      </c>
      <c r="E117" s="40" t="e">
        <f>IF(((ROW(Kutools_Chart!E117)-56)/100)&lt;=(投资收益表!$B$21+投资收益表!$B$22),(MOD((ROW(Kutools_Chart!E117)- 57),10)+1),NA())</f>
        <v>#VALUE!</v>
      </c>
      <c r="F117" s="40">
        <f>IF(((ROW(Kutools_Chart!F117)-56)/100)&lt;=(投资收益表!$B$22),(MOD((ROW(Kutools_Chart!F117)- 57),10)+1),NA())</f>
        <v>1</v>
      </c>
    </row>
    <row r="118" spans="1:6">
      <c r="A118" s="40" t="e">
        <f>IF(((ROW(Kutools_Chart!A118)-56)/100)&lt;=(投资收益表!$B$17+投资收益表!$B$18+投资收益表!$B$19+投资收益表!$B$20+投资收益表!$B$21+投资收益表!$B$22),(MOD((ROW(Kutools_Chart!A118)- 57),10)+1),NA())</f>
        <v>#VALUE!</v>
      </c>
      <c r="B118" s="40" t="e">
        <f>IF(((ROW(Kutools_Chart!B118)-56)/100)&lt;=(投资收益表!$B$18+投资收益表!$B$19+投资收益表!$B$20+投资收益表!$B$21+投资收益表!$B$22),(MOD((ROW(Kutools_Chart!B118)- 57),10)+1),NA())</f>
        <v>#VALUE!</v>
      </c>
      <c r="C118" s="40" t="e">
        <f>IF(((ROW(Kutools_Chart!C118)-56)/100)&lt;=(投资收益表!$B$19+投资收益表!$B$20+投资收益表!$B$21+投资收益表!$B$22),(MOD((ROW(Kutools_Chart!C118)- 57),10)+1),NA())</f>
        <v>#VALUE!</v>
      </c>
      <c r="D118" s="40" t="e">
        <f>IF(((ROW(Kutools_Chart!D118)-56)/100)&lt;=(投资收益表!$B$20+投资收益表!$B$21+投资收益表!$B$22),(MOD((ROW(Kutools_Chart!D118)- 57),10)+1),NA())</f>
        <v>#VALUE!</v>
      </c>
      <c r="E118" s="40" t="e">
        <f>IF(((ROW(Kutools_Chart!E118)-56)/100)&lt;=(投资收益表!$B$21+投资收益表!$B$22),(MOD((ROW(Kutools_Chart!E118)- 57),10)+1),NA())</f>
        <v>#VALUE!</v>
      </c>
      <c r="F118" s="40">
        <f>IF(((ROW(Kutools_Chart!F118)-56)/100)&lt;=(投资收益表!$B$22),(MOD((ROW(Kutools_Chart!F118)- 57),10)+1),NA())</f>
        <v>2</v>
      </c>
    </row>
    <row r="119" spans="1:6">
      <c r="A119" s="40" t="e">
        <f>IF(((ROW(Kutools_Chart!A119)-56)/100)&lt;=(投资收益表!$B$17+投资收益表!$B$18+投资收益表!$B$19+投资收益表!$B$20+投资收益表!$B$21+投资收益表!$B$22),(MOD((ROW(Kutools_Chart!A119)- 57),10)+1),NA())</f>
        <v>#VALUE!</v>
      </c>
      <c r="B119" s="40" t="e">
        <f>IF(((ROW(Kutools_Chart!B119)-56)/100)&lt;=(投资收益表!$B$18+投资收益表!$B$19+投资收益表!$B$20+投资收益表!$B$21+投资收益表!$B$22),(MOD((ROW(Kutools_Chart!B119)- 57),10)+1),NA())</f>
        <v>#VALUE!</v>
      </c>
      <c r="C119" s="40" t="e">
        <f>IF(((ROW(Kutools_Chart!C119)-56)/100)&lt;=(投资收益表!$B$19+投资收益表!$B$20+投资收益表!$B$21+投资收益表!$B$22),(MOD((ROW(Kutools_Chart!C119)- 57),10)+1),NA())</f>
        <v>#VALUE!</v>
      </c>
      <c r="D119" s="40" t="e">
        <f>IF(((ROW(Kutools_Chart!D119)-56)/100)&lt;=(投资收益表!$B$20+投资收益表!$B$21+投资收益表!$B$22),(MOD((ROW(Kutools_Chart!D119)- 57),10)+1),NA())</f>
        <v>#VALUE!</v>
      </c>
      <c r="E119" s="40" t="e">
        <f>IF(((ROW(Kutools_Chart!E119)-56)/100)&lt;=(投资收益表!$B$21+投资收益表!$B$22),(MOD((ROW(Kutools_Chart!E119)- 57),10)+1),NA())</f>
        <v>#VALUE!</v>
      </c>
      <c r="F119" s="40">
        <f>IF(((ROW(Kutools_Chart!F119)-56)/100)&lt;=(投资收益表!$B$22),(MOD((ROW(Kutools_Chart!F119)- 57),10)+1),NA())</f>
        <v>3</v>
      </c>
    </row>
    <row r="120" spans="1:6">
      <c r="A120" s="40" t="e">
        <f>IF(((ROW(Kutools_Chart!A120)-56)/100)&lt;=(投资收益表!$B$17+投资收益表!$B$18+投资收益表!$B$19+投资收益表!$B$20+投资收益表!$B$21+投资收益表!$B$22),(MOD((ROW(Kutools_Chart!A120)- 57),10)+1),NA())</f>
        <v>#VALUE!</v>
      </c>
      <c r="B120" s="40" t="e">
        <f>IF(((ROW(Kutools_Chart!B120)-56)/100)&lt;=(投资收益表!$B$18+投资收益表!$B$19+投资收益表!$B$20+投资收益表!$B$21+投资收益表!$B$22),(MOD((ROW(Kutools_Chart!B120)- 57),10)+1),NA())</f>
        <v>#VALUE!</v>
      </c>
      <c r="C120" s="40" t="e">
        <f>IF(((ROW(Kutools_Chart!C120)-56)/100)&lt;=(投资收益表!$B$19+投资收益表!$B$20+投资收益表!$B$21+投资收益表!$B$22),(MOD((ROW(Kutools_Chart!C120)- 57),10)+1),NA())</f>
        <v>#VALUE!</v>
      </c>
      <c r="D120" s="40" t="e">
        <f>IF(((ROW(Kutools_Chart!D120)-56)/100)&lt;=(投资收益表!$B$20+投资收益表!$B$21+投资收益表!$B$22),(MOD((ROW(Kutools_Chart!D120)- 57),10)+1),NA())</f>
        <v>#VALUE!</v>
      </c>
      <c r="E120" s="40" t="e">
        <f>IF(((ROW(Kutools_Chart!E120)-56)/100)&lt;=(投资收益表!$B$21+投资收益表!$B$22),(MOD((ROW(Kutools_Chart!E120)- 57),10)+1),NA())</f>
        <v>#VALUE!</v>
      </c>
      <c r="F120" s="40">
        <f>IF(((ROW(Kutools_Chart!F120)-56)/100)&lt;=(投资收益表!$B$22),(MOD((ROW(Kutools_Chart!F120)- 57),10)+1),NA())</f>
        <v>4</v>
      </c>
    </row>
    <row r="121" spans="1:6">
      <c r="A121" s="40" t="e">
        <f>IF(((ROW(Kutools_Chart!A121)-56)/100)&lt;=(投资收益表!$B$17+投资收益表!$B$18+投资收益表!$B$19+投资收益表!$B$20+投资收益表!$B$21+投资收益表!$B$22),(MOD((ROW(Kutools_Chart!A121)- 57),10)+1),NA())</f>
        <v>#VALUE!</v>
      </c>
      <c r="B121" s="40" t="e">
        <f>IF(((ROW(Kutools_Chart!B121)-56)/100)&lt;=(投资收益表!$B$18+投资收益表!$B$19+投资收益表!$B$20+投资收益表!$B$21+投资收益表!$B$22),(MOD((ROW(Kutools_Chart!B121)- 57),10)+1),NA())</f>
        <v>#VALUE!</v>
      </c>
      <c r="C121" s="40" t="e">
        <f>IF(((ROW(Kutools_Chart!C121)-56)/100)&lt;=(投资收益表!$B$19+投资收益表!$B$20+投资收益表!$B$21+投资收益表!$B$22),(MOD((ROW(Kutools_Chart!C121)- 57),10)+1),NA())</f>
        <v>#VALUE!</v>
      </c>
      <c r="D121" s="40" t="e">
        <f>IF(((ROW(Kutools_Chart!D121)-56)/100)&lt;=(投资收益表!$B$20+投资收益表!$B$21+投资收益表!$B$22),(MOD((ROW(Kutools_Chart!D121)- 57),10)+1),NA())</f>
        <v>#VALUE!</v>
      </c>
      <c r="E121" s="40" t="e">
        <f>IF(((ROW(Kutools_Chart!E121)-56)/100)&lt;=(投资收益表!$B$21+投资收益表!$B$22),(MOD((ROW(Kutools_Chart!E121)- 57),10)+1),NA())</f>
        <v>#VALUE!</v>
      </c>
      <c r="F121" s="40">
        <f>IF(((ROW(Kutools_Chart!F121)-56)/100)&lt;=(投资收益表!$B$22),(MOD((ROW(Kutools_Chart!F121)- 57),10)+1),NA())</f>
        <v>5</v>
      </c>
    </row>
    <row r="122" spans="1:6">
      <c r="A122" s="40" t="e">
        <f>IF(((ROW(Kutools_Chart!A122)-56)/100)&lt;=(投资收益表!$B$17+投资收益表!$B$18+投资收益表!$B$19+投资收益表!$B$20+投资收益表!$B$21+投资收益表!$B$22),(MOD((ROW(Kutools_Chart!A122)- 57),10)+1),NA())</f>
        <v>#VALUE!</v>
      </c>
      <c r="B122" s="40" t="e">
        <f>IF(((ROW(Kutools_Chart!B122)-56)/100)&lt;=(投资收益表!$B$18+投资收益表!$B$19+投资收益表!$B$20+投资收益表!$B$21+投资收益表!$B$22),(MOD((ROW(Kutools_Chart!B122)- 57),10)+1),NA())</f>
        <v>#VALUE!</v>
      </c>
      <c r="C122" s="40" t="e">
        <f>IF(((ROW(Kutools_Chart!C122)-56)/100)&lt;=(投资收益表!$B$19+投资收益表!$B$20+投资收益表!$B$21+投资收益表!$B$22),(MOD((ROW(Kutools_Chart!C122)- 57),10)+1),NA())</f>
        <v>#VALUE!</v>
      </c>
      <c r="D122" s="40" t="e">
        <f>IF(((ROW(Kutools_Chart!D122)-56)/100)&lt;=(投资收益表!$B$20+投资收益表!$B$21+投资收益表!$B$22),(MOD((ROW(Kutools_Chart!D122)- 57),10)+1),NA())</f>
        <v>#VALUE!</v>
      </c>
      <c r="E122" s="40" t="e">
        <f>IF(((ROW(Kutools_Chart!E122)-56)/100)&lt;=(投资收益表!$B$21+投资收益表!$B$22),(MOD((ROW(Kutools_Chart!E122)- 57),10)+1),NA())</f>
        <v>#VALUE!</v>
      </c>
      <c r="F122" s="40">
        <f>IF(((ROW(Kutools_Chart!F122)-56)/100)&lt;=(投资收益表!$B$22),(MOD((ROW(Kutools_Chart!F122)- 57),10)+1),NA())</f>
        <v>6</v>
      </c>
    </row>
    <row r="123" spans="1:6">
      <c r="A123" s="40" t="e">
        <f>IF(((ROW(Kutools_Chart!A123)-56)/100)&lt;=(投资收益表!$B$17+投资收益表!$B$18+投资收益表!$B$19+投资收益表!$B$20+投资收益表!$B$21+投资收益表!$B$22),(MOD((ROW(Kutools_Chart!A123)- 57),10)+1),NA())</f>
        <v>#VALUE!</v>
      </c>
      <c r="B123" s="40" t="e">
        <f>IF(((ROW(Kutools_Chart!B123)-56)/100)&lt;=(投资收益表!$B$18+投资收益表!$B$19+投资收益表!$B$20+投资收益表!$B$21+投资收益表!$B$22),(MOD((ROW(Kutools_Chart!B123)- 57),10)+1),NA())</f>
        <v>#VALUE!</v>
      </c>
      <c r="C123" s="40" t="e">
        <f>IF(((ROW(Kutools_Chart!C123)-56)/100)&lt;=(投资收益表!$B$19+投资收益表!$B$20+投资收益表!$B$21+投资收益表!$B$22),(MOD((ROW(Kutools_Chart!C123)- 57),10)+1),NA())</f>
        <v>#VALUE!</v>
      </c>
      <c r="D123" s="40" t="e">
        <f>IF(((ROW(Kutools_Chart!D123)-56)/100)&lt;=(投资收益表!$B$20+投资收益表!$B$21+投资收益表!$B$22),(MOD((ROW(Kutools_Chart!D123)- 57),10)+1),NA())</f>
        <v>#VALUE!</v>
      </c>
      <c r="E123" s="40" t="e">
        <f>IF(((ROW(Kutools_Chart!E123)-56)/100)&lt;=(投资收益表!$B$21+投资收益表!$B$22),(MOD((ROW(Kutools_Chart!E123)- 57),10)+1),NA())</f>
        <v>#VALUE!</v>
      </c>
      <c r="F123" s="40">
        <f>IF(((ROW(Kutools_Chart!F123)-56)/100)&lt;=(投资收益表!$B$22),(MOD((ROW(Kutools_Chart!F123)- 57),10)+1),NA())</f>
        <v>7</v>
      </c>
    </row>
    <row r="124" spans="1:6">
      <c r="A124" s="40" t="e">
        <f>IF(((ROW(Kutools_Chart!A124)-56)/100)&lt;=(投资收益表!$B$17+投资收益表!$B$18+投资收益表!$B$19+投资收益表!$B$20+投资收益表!$B$21+投资收益表!$B$22),(MOD((ROW(Kutools_Chart!A124)- 57),10)+1),NA())</f>
        <v>#VALUE!</v>
      </c>
      <c r="B124" s="40" t="e">
        <f>IF(((ROW(Kutools_Chart!B124)-56)/100)&lt;=(投资收益表!$B$18+投资收益表!$B$19+投资收益表!$B$20+投资收益表!$B$21+投资收益表!$B$22),(MOD((ROW(Kutools_Chart!B124)- 57),10)+1),NA())</f>
        <v>#VALUE!</v>
      </c>
      <c r="C124" s="40" t="e">
        <f>IF(((ROW(Kutools_Chart!C124)-56)/100)&lt;=(投资收益表!$B$19+投资收益表!$B$20+投资收益表!$B$21+投资收益表!$B$22),(MOD((ROW(Kutools_Chart!C124)- 57),10)+1),NA())</f>
        <v>#VALUE!</v>
      </c>
      <c r="D124" s="40" t="e">
        <f>IF(((ROW(Kutools_Chart!D124)-56)/100)&lt;=(投资收益表!$B$20+投资收益表!$B$21+投资收益表!$B$22),(MOD((ROW(Kutools_Chart!D124)- 57),10)+1),NA())</f>
        <v>#VALUE!</v>
      </c>
      <c r="E124" s="40" t="e">
        <f>IF(((ROW(Kutools_Chart!E124)-56)/100)&lt;=(投资收益表!$B$21+投资收益表!$B$22),(MOD((ROW(Kutools_Chart!E124)- 57),10)+1),NA())</f>
        <v>#VALUE!</v>
      </c>
      <c r="F124" s="40">
        <f>IF(((ROW(Kutools_Chart!F124)-56)/100)&lt;=(投资收益表!$B$22),(MOD((ROW(Kutools_Chart!F124)- 57),10)+1),NA())</f>
        <v>8</v>
      </c>
    </row>
    <row r="125" spans="1:6">
      <c r="A125" s="40" t="e">
        <f>IF(((ROW(Kutools_Chart!A125)-56)/100)&lt;=(投资收益表!$B$17+投资收益表!$B$18+投资收益表!$B$19+投资收益表!$B$20+投资收益表!$B$21+投资收益表!$B$22),(MOD((ROW(Kutools_Chart!A125)- 57),10)+1),NA())</f>
        <v>#VALUE!</v>
      </c>
      <c r="B125" s="40" t="e">
        <f>IF(((ROW(Kutools_Chart!B125)-56)/100)&lt;=(投资收益表!$B$18+投资收益表!$B$19+投资收益表!$B$20+投资收益表!$B$21+投资收益表!$B$22),(MOD((ROW(Kutools_Chart!B125)- 57),10)+1),NA())</f>
        <v>#VALUE!</v>
      </c>
      <c r="C125" s="40" t="e">
        <f>IF(((ROW(Kutools_Chart!C125)-56)/100)&lt;=(投资收益表!$B$19+投资收益表!$B$20+投资收益表!$B$21+投资收益表!$B$22),(MOD((ROW(Kutools_Chart!C125)- 57),10)+1),NA())</f>
        <v>#VALUE!</v>
      </c>
      <c r="D125" s="40" t="e">
        <f>IF(((ROW(Kutools_Chart!D125)-56)/100)&lt;=(投资收益表!$B$20+投资收益表!$B$21+投资收益表!$B$22),(MOD((ROW(Kutools_Chart!D125)- 57),10)+1),NA())</f>
        <v>#VALUE!</v>
      </c>
      <c r="E125" s="40" t="e">
        <f>IF(((ROW(Kutools_Chart!E125)-56)/100)&lt;=(投资收益表!$B$21+投资收益表!$B$22),(MOD((ROW(Kutools_Chart!E125)- 57),10)+1),NA())</f>
        <v>#VALUE!</v>
      </c>
      <c r="F125" s="40">
        <f>IF(((ROW(Kutools_Chart!F125)-56)/100)&lt;=(投资收益表!$B$22),(MOD((ROW(Kutools_Chart!F125)- 57),10)+1),NA())</f>
        <v>9</v>
      </c>
    </row>
    <row r="126" spans="1:6">
      <c r="A126" s="40" t="e">
        <f>IF(((ROW(Kutools_Chart!A126)-56)/100)&lt;=(投资收益表!$B$17+投资收益表!$B$18+投资收益表!$B$19+投资收益表!$B$20+投资收益表!$B$21+投资收益表!$B$22),(MOD((ROW(Kutools_Chart!A126)- 57),10)+1),NA())</f>
        <v>#VALUE!</v>
      </c>
      <c r="B126" s="40" t="e">
        <f>IF(((ROW(Kutools_Chart!B126)-56)/100)&lt;=(投资收益表!$B$18+投资收益表!$B$19+投资收益表!$B$20+投资收益表!$B$21+投资收益表!$B$22),(MOD((ROW(Kutools_Chart!B126)- 57),10)+1),NA())</f>
        <v>#VALUE!</v>
      </c>
      <c r="C126" s="40" t="e">
        <f>IF(((ROW(Kutools_Chart!C126)-56)/100)&lt;=(投资收益表!$B$19+投资收益表!$B$20+投资收益表!$B$21+投资收益表!$B$22),(MOD((ROW(Kutools_Chart!C126)- 57),10)+1),NA())</f>
        <v>#VALUE!</v>
      </c>
      <c r="D126" s="40" t="e">
        <f>IF(((ROW(Kutools_Chart!D126)-56)/100)&lt;=(投资收益表!$B$20+投资收益表!$B$21+投资收益表!$B$22),(MOD((ROW(Kutools_Chart!D126)- 57),10)+1),NA())</f>
        <v>#VALUE!</v>
      </c>
      <c r="E126" s="40" t="e">
        <f>IF(((ROW(Kutools_Chart!E126)-56)/100)&lt;=(投资收益表!$B$21+投资收益表!$B$22),(MOD((ROW(Kutools_Chart!E126)- 57),10)+1),NA())</f>
        <v>#VALUE!</v>
      </c>
      <c r="F126" s="40">
        <f>IF(((ROW(Kutools_Chart!F126)-56)/100)&lt;=(投资收益表!$B$22),(MOD((ROW(Kutools_Chart!F126)- 57),10)+1),NA())</f>
        <v>10</v>
      </c>
    </row>
    <row r="127" spans="1:6">
      <c r="A127" s="40" t="e">
        <f>IF(((ROW(Kutools_Chart!A127)-56)/100)&lt;=(投资收益表!$B$17+投资收益表!$B$18+投资收益表!$B$19+投资收益表!$B$20+投资收益表!$B$21+投资收益表!$B$22),(MOD((ROW(Kutools_Chart!A127)- 57),10)+1),NA())</f>
        <v>#VALUE!</v>
      </c>
      <c r="B127" s="40" t="e">
        <f>IF(((ROW(Kutools_Chart!B127)-56)/100)&lt;=(投资收益表!$B$18+投资收益表!$B$19+投资收益表!$B$20+投资收益表!$B$21+投资收益表!$B$22),(MOD((ROW(Kutools_Chart!B127)- 57),10)+1),NA())</f>
        <v>#VALUE!</v>
      </c>
      <c r="C127" s="40" t="e">
        <f>IF(((ROW(Kutools_Chart!C127)-56)/100)&lt;=(投资收益表!$B$19+投资收益表!$B$20+投资收益表!$B$21+投资收益表!$B$22),(MOD((ROW(Kutools_Chart!C127)- 57),10)+1),NA())</f>
        <v>#VALUE!</v>
      </c>
      <c r="D127" s="40" t="e">
        <f>IF(((ROW(Kutools_Chart!D127)-56)/100)&lt;=(投资收益表!$B$20+投资收益表!$B$21+投资收益表!$B$22),(MOD((ROW(Kutools_Chart!D127)- 57),10)+1),NA())</f>
        <v>#VALUE!</v>
      </c>
      <c r="E127" s="40" t="e">
        <f>IF(((ROW(Kutools_Chart!E127)-56)/100)&lt;=(投资收益表!$B$21+投资收益表!$B$22),(MOD((ROW(Kutools_Chart!E127)- 57),10)+1),NA())</f>
        <v>#VALUE!</v>
      </c>
      <c r="F127" s="40">
        <f>IF(((ROW(Kutools_Chart!F127)-56)/100)&lt;=(投资收益表!$B$22),(MOD((ROW(Kutools_Chart!F127)- 57),10)+1),NA())</f>
        <v>1</v>
      </c>
    </row>
    <row r="128" spans="1:6">
      <c r="A128" s="40" t="e">
        <f>IF(((ROW(Kutools_Chart!A128)-56)/100)&lt;=(投资收益表!$B$17+投资收益表!$B$18+投资收益表!$B$19+投资收益表!$B$20+投资收益表!$B$21+投资收益表!$B$22),(MOD((ROW(Kutools_Chart!A128)- 57),10)+1),NA())</f>
        <v>#VALUE!</v>
      </c>
      <c r="B128" s="40" t="e">
        <f>IF(((ROW(Kutools_Chart!B128)-56)/100)&lt;=(投资收益表!$B$18+投资收益表!$B$19+投资收益表!$B$20+投资收益表!$B$21+投资收益表!$B$22),(MOD((ROW(Kutools_Chart!B128)- 57),10)+1),NA())</f>
        <v>#VALUE!</v>
      </c>
      <c r="C128" s="40" t="e">
        <f>IF(((ROW(Kutools_Chart!C128)-56)/100)&lt;=(投资收益表!$B$19+投资收益表!$B$20+投资收益表!$B$21+投资收益表!$B$22),(MOD((ROW(Kutools_Chart!C128)- 57),10)+1),NA())</f>
        <v>#VALUE!</v>
      </c>
      <c r="D128" s="40" t="e">
        <f>IF(((ROW(Kutools_Chart!D128)-56)/100)&lt;=(投资收益表!$B$20+投资收益表!$B$21+投资收益表!$B$22),(MOD((ROW(Kutools_Chart!D128)- 57),10)+1),NA())</f>
        <v>#VALUE!</v>
      </c>
      <c r="E128" s="40" t="e">
        <f>IF(((ROW(Kutools_Chart!E128)-56)/100)&lt;=(投资收益表!$B$21+投资收益表!$B$22),(MOD((ROW(Kutools_Chart!E128)- 57),10)+1),NA())</f>
        <v>#VALUE!</v>
      </c>
      <c r="F128" s="40">
        <f>IF(((ROW(Kutools_Chart!F128)-56)/100)&lt;=(投资收益表!$B$22),(MOD((ROW(Kutools_Chart!F128)- 57),10)+1),NA())</f>
        <v>2</v>
      </c>
    </row>
    <row r="129" spans="1:6">
      <c r="A129" s="40" t="e">
        <f>IF(((ROW(Kutools_Chart!A129)-56)/100)&lt;=(投资收益表!$B$17+投资收益表!$B$18+投资收益表!$B$19+投资收益表!$B$20+投资收益表!$B$21+投资收益表!$B$22),(MOD((ROW(Kutools_Chart!A129)- 57),10)+1),NA())</f>
        <v>#VALUE!</v>
      </c>
      <c r="B129" s="40" t="e">
        <f>IF(((ROW(Kutools_Chart!B129)-56)/100)&lt;=(投资收益表!$B$18+投资收益表!$B$19+投资收益表!$B$20+投资收益表!$B$21+投资收益表!$B$22),(MOD((ROW(Kutools_Chart!B129)- 57),10)+1),NA())</f>
        <v>#VALUE!</v>
      </c>
      <c r="C129" s="40" t="e">
        <f>IF(((ROW(Kutools_Chart!C129)-56)/100)&lt;=(投资收益表!$B$19+投资收益表!$B$20+投资收益表!$B$21+投资收益表!$B$22),(MOD((ROW(Kutools_Chart!C129)- 57),10)+1),NA())</f>
        <v>#VALUE!</v>
      </c>
      <c r="D129" s="40" t="e">
        <f>IF(((ROW(Kutools_Chart!D129)-56)/100)&lt;=(投资收益表!$B$20+投资收益表!$B$21+投资收益表!$B$22),(MOD((ROW(Kutools_Chart!D129)- 57),10)+1),NA())</f>
        <v>#VALUE!</v>
      </c>
      <c r="E129" s="40" t="e">
        <f>IF(((ROW(Kutools_Chart!E129)-56)/100)&lt;=(投资收益表!$B$21+投资收益表!$B$22),(MOD((ROW(Kutools_Chart!E129)- 57),10)+1),NA())</f>
        <v>#VALUE!</v>
      </c>
      <c r="F129" s="40">
        <f>IF(((ROW(Kutools_Chart!F129)-56)/100)&lt;=(投资收益表!$B$22),(MOD((ROW(Kutools_Chart!F129)- 57),10)+1),NA())</f>
        <v>3</v>
      </c>
    </row>
    <row r="130" spans="1:6">
      <c r="A130" s="40" t="e">
        <f>IF(((ROW(Kutools_Chart!A130)-56)/100)&lt;=(投资收益表!$B$17+投资收益表!$B$18+投资收益表!$B$19+投资收益表!$B$20+投资收益表!$B$21+投资收益表!$B$22),(MOD((ROW(Kutools_Chart!A130)- 57),10)+1),NA())</f>
        <v>#VALUE!</v>
      </c>
      <c r="B130" s="40" t="e">
        <f>IF(((ROW(Kutools_Chart!B130)-56)/100)&lt;=(投资收益表!$B$18+投资收益表!$B$19+投资收益表!$B$20+投资收益表!$B$21+投资收益表!$B$22),(MOD((ROW(Kutools_Chart!B130)- 57),10)+1),NA())</f>
        <v>#VALUE!</v>
      </c>
      <c r="C130" s="40" t="e">
        <f>IF(((ROW(Kutools_Chart!C130)-56)/100)&lt;=(投资收益表!$B$19+投资收益表!$B$20+投资收益表!$B$21+投资收益表!$B$22),(MOD((ROW(Kutools_Chart!C130)- 57),10)+1),NA())</f>
        <v>#VALUE!</v>
      </c>
      <c r="D130" s="40" t="e">
        <f>IF(((ROW(Kutools_Chart!D130)-56)/100)&lt;=(投资收益表!$B$20+投资收益表!$B$21+投资收益表!$B$22),(MOD((ROW(Kutools_Chart!D130)- 57),10)+1),NA())</f>
        <v>#VALUE!</v>
      </c>
      <c r="E130" s="40" t="e">
        <f>IF(((ROW(Kutools_Chart!E130)-56)/100)&lt;=(投资收益表!$B$21+投资收益表!$B$22),(MOD((ROW(Kutools_Chart!E130)- 57),10)+1),NA())</f>
        <v>#VALUE!</v>
      </c>
      <c r="F130" s="40">
        <f>IF(((ROW(Kutools_Chart!F130)-56)/100)&lt;=(投资收益表!$B$22),(MOD((ROW(Kutools_Chart!F130)- 57),10)+1),NA())</f>
        <v>4</v>
      </c>
    </row>
    <row r="131" spans="1:6">
      <c r="A131" s="40" t="e">
        <f>IF(((ROW(Kutools_Chart!A131)-56)/100)&lt;=(投资收益表!$B$17+投资收益表!$B$18+投资收益表!$B$19+投资收益表!$B$20+投资收益表!$B$21+投资收益表!$B$22),(MOD((ROW(Kutools_Chart!A131)- 57),10)+1),NA())</f>
        <v>#VALUE!</v>
      </c>
      <c r="B131" s="40" t="e">
        <f>IF(((ROW(Kutools_Chart!B131)-56)/100)&lt;=(投资收益表!$B$18+投资收益表!$B$19+投资收益表!$B$20+投资收益表!$B$21+投资收益表!$B$22),(MOD((ROW(Kutools_Chart!B131)- 57),10)+1),NA())</f>
        <v>#VALUE!</v>
      </c>
      <c r="C131" s="40" t="e">
        <f>IF(((ROW(Kutools_Chart!C131)-56)/100)&lt;=(投资收益表!$B$19+投资收益表!$B$20+投资收益表!$B$21+投资收益表!$B$22),(MOD((ROW(Kutools_Chart!C131)- 57),10)+1),NA())</f>
        <v>#VALUE!</v>
      </c>
      <c r="D131" s="40" t="e">
        <f>IF(((ROW(Kutools_Chart!D131)-56)/100)&lt;=(投资收益表!$B$20+投资收益表!$B$21+投资收益表!$B$22),(MOD((ROW(Kutools_Chart!D131)- 57),10)+1),NA())</f>
        <v>#VALUE!</v>
      </c>
      <c r="E131" s="40" t="e">
        <f>IF(((ROW(Kutools_Chart!E131)-56)/100)&lt;=(投资收益表!$B$21+投资收益表!$B$22),(MOD((ROW(Kutools_Chart!E131)- 57),10)+1),NA())</f>
        <v>#VALUE!</v>
      </c>
      <c r="F131" s="40">
        <f>IF(((ROW(Kutools_Chart!F131)-56)/100)&lt;=(投资收益表!$B$22),(MOD((ROW(Kutools_Chart!F131)- 57),10)+1),NA())</f>
        <v>5</v>
      </c>
    </row>
    <row r="132" spans="1:6">
      <c r="A132" s="40" t="e">
        <f>IF(((ROW(Kutools_Chart!A132)-56)/100)&lt;=(投资收益表!$B$17+投资收益表!$B$18+投资收益表!$B$19+投资收益表!$B$20+投资收益表!$B$21+投资收益表!$B$22),(MOD((ROW(Kutools_Chart!A132)- 57),10)+1),NA())</f>
        <v>#VALUE!</v>
      </c>
      <c r="B132" s="40" t="e">
        <f>IF(((ROW(Kutools_Chart!B132)-56)/100)&lt;=(投资收益表!$B$18+投资收益表!$B$19+投资收益表!$B$20+投资收益表!$B$21+投资收益表!$B$22),(MOD((ROW(Kutools_Chart!B132)- 57),10)+1),NA())</f>
        <v>#VALUE!</v>
      </c>
      <c r="C132" s="40" t="e">
        <f>IF(((ROW(Kutools_Chart!C132)-56)/100)&lt;=(投资收益表!$B$19+投资收益表!$B$20+投资收益表!$B$21+投资收益表!$B$22),(MOD((ROW(Kutools_Chart!C132)- 57),10)+1),NA())</f>
        <v>#VALUE!</v>
      </c>
      <c r="D132" s="40" t="e">
        <f>IF(((ROW(Kutools_Chart!D132)-56)/100)&lt;=(投资收益表!$B$20+投资收益表!$B$21+投资收益表!$B$22),(MOD((ROW(Kutools_Chart!D132)- 57),10)+1),NA())</f>
        <v>#VALUE!</v>
      </c>
      <c r="E132" s="40" t="e">
        <f>IF(((ROW(Kutools_Chart!E132)-56)/100)&lt;=(投资收益表!$B$21+投资收益表!$B$22),(MOD((ROW(Kutools_Chart!E132)- 57),10)+1),NA())</f>
        <v>#VALUE!</v>
      </c>
      <c r="F132" s="40">
        <f>IF(((ROW(Kutools_Chart!F132)-56)/100)&lt;=(投资收益表!$B$22),(MOD((ROW(Kutools_Chart!F132)- 57),10)+1),NA())</f>
        <v>6</v>
      </c>
    </row>
    <row r="133" spans="1:6">
      <c r="A133" s="40" t="e">
        <f>IF(((ROW(Kutools_Chart!A133)-56)/100)&lt;=(投资收益表!$B$17+投资收益表!$B$18+投资收益表!$B$19+投资收益表!$B$20+投资收益表!$B$21+投资收益表!$B$22),(MOD((ROW(Kutools_Chart!A133)- 57),10)+1),NA())</f>
        <v>#VALUE!</v>
      </c>
      <c r="B133" s="40" t="e">
        <f>IF(((ROW(Kutools_Chart!B133)-56)/100)&lt;=(投资收益表!$B$18+投资收益表!$B$19+投资收益表!$B$20+投资收益表!$B$21+投资收益表!$B$22),(MOD((ROW(Kutools_Chart!B133)- 57),10)+1),NA())</f>
        <v>#VALUE!</v>
      </c>
      <c r="C133" s="40" t="e">
        <f>IF(((ROW(Kutools_Chart!C133)-56)/100)&lt;=(投资收益表!$B$19+投资收益表!$B$20+投资收益表!$B$21+投资收益表!$B$22),(MOD((ROW(Kutools_Chart!C133)- 57),10)+1),NA())</f>
        <v>#VALUE!</v>
      </c>
      <c r="D133" s="40" t="e">
        <f>IF(((ROW(Kutools_Chart!D133)-56)/100)&lt;=(投资收益表!$B$20+投资收益表!$B$21+投资收益表!$B$22),(MOD((ROW(Kutools_Chart!D133)- 57),10)+1),NA())</f>
        <v>#VALUE!</v>
      </c>
      <c r="E133" s="40" t="e">
        <f>IF(((ROW(Kutools_Chart!E133)-56)/100)&lt;=(投资收益表!$B$21+投资收益表!$B$22),(MOD((ROW(Kutools_Chart!E133)- 57),10)+1),NA())</f>
        <v>#VALUE!</v>
      </c>
      <c r="F133" s="40">
        <f>IF(((ROW(Kutools_Chart!F133)-56)/100)&lt;=(投资收益表!$B$22),(MOD((ROW(Kutools_Chart!F133)- 57),10)+1),NA())</f>
        <v>7</v>
      </c>
    </row>
    <row r="134" spans="1:6">
      <c r="A134" s="40" t="e">
        <f>IF(((ROW(Kutools_Chart!A134)-56)/100)&lt;=(投资收益表!$B$17+投资收益表!$B$18+投资收益表!$B$19+投资收益表!$B$20+投资收益表!$B$21+投资收益表!$B$22),(MOD((ROW(Kutools_Chart!A134)- 57),10)+1),NA())</f>
        <v>#VALUE!</v>
      </c>
      <c r="B134" s="40" t="e">
        <f>IF(((ROW(Kutools_Chart!B134)-56)/100)&lt;=(投资收益表!$B$18+投资收益表!$B$19+投资收益表!$B$20+投资收益表!$B$21+投资收益表!$B$22),(MOD((ROW(Kutools_Chart!B134)- 57),10)+1),NA())</f>
        <v>#VALUE!</v>
      </c>
      <c r="C134" s="40" t="e">
        <f>IF(((ROW(Kutools_Chart!C134)-56)/100)&lt;=(投资收益表!$B$19+投资收益表!$B$20+投资收益表!$B$21+投资收益表!$B$22),(MOD((ROW(Kutools_Chart!C134)- 57),10)+1),NA())</f>
        <v>#VALUE!</v>
      </c>
      <c r="D134" s="40" t="e">
        <f>IF(((ROW(Kutools_Chart!D134)-56)/100)&lt;=(投资收益表!$B$20+投资收益表!$B$21+投资收益表!$B$22),(MOD((ROW(Kutools_Chart!D134)- 57),10)+1),NA())</f>
        <v>#VALUE!</v>
      </c>
      <c r="E134" s="40" t="e">
        <f>IF(((ROW(Kutools_Chart!E134)-56)/100)&lt;=(投资收益表!$B$21+投资收益表!$B$22),(MOD((ROW(Kutools_Chart!E134)- 57),10)+1),NA())</f>
        <v>#VALUE!</v>
      </c>
      <c r="F134" s="40">
        <f>IF(((ROW(Kutools_Chart!F134)-56)/100)&lt;=(投资收益表!$B$22),(MOD((ROW(Kutools_Chart!F134)- 57),10)+1),NA())</f>
        <v>8</v>
      </c>
    </row>
    <row r="135" spans="1:6">
      <c r="A135" s="40" t="e">
        <f>IF(((ROW(Kutools_Chart!A135)-56)/100)&lt;=(投资收益表!$B$17+投资收益表!$B$18+投资收益表!$B$19+投资收益表!$B$20+投资收益表!$B$21+投资收益表!$B$22),(MOD((ROW(Kutools_Chart!A135)- 57),10)+1),NA())</f>
        <v>#VALUE!</v>
      </c>
      <c r="B135" s="40" t="e">
        <f>IF(((ROW(Kutools_Chart!B135)-56)/100)&lt;=(投资收益表!$B$18+投资收益表!$B$19+投资收益表!$B$20+投资收益表!$B$21+投资收益表!$B$22),(MOD((ROW(Kutools_Chart!B135)- 57),10)+1),NA())</f>
        <v>#VALUE!</v>
      </c>
      <c r="C135" s="40" t="e">
        <f>IF(((ROW(Kutools_Chart!C135)-56)/100)&lt;=(投资收益表!$B$19+投资收益表!$B$20+投资收益表!$B$21+投资收益表!$B$22),(MOD((ROW(Kutools_Chart!C135)- 57),10)+1),NA())</f>
        <v>#VALUE!</v>
      </c>
      <c r="D135" s="40" t="e">
        <f>IF(((ROW(Kutools_Chart!D135)-56)/100)&lt;=(投资收益表!$B$20+投资收益表!$B$21+投资收益表!$B$22),(MOD((ROW(Kutools_Chart!D135)- 57),10)+1),NA())</f>
        <v>#VALUE!</v>
      </c>
      <c r="E135" s="40" t="e">
        <f>IF(((ROW(Kutools_Chart!E135)-56)/100)&lt;=(投资收益表!$B$21+投资收益表!$B$22),(MOD((ROW(Kutools_Chart!E135)- 57),10)+1),NA())</f>
        <v>#VALUE!</v>
      </c>
      <c r="F135" s="40">
        <f>IF(((ROW(Kutools_Chart!F135)-56)/100)&lt;=(投资收益表!$B$22),(MOD((ROW(Kutools_Chart!F135)- 57),10)+1),NA())</f>
        <v>9</v>
      </c>
    </row>
    <row r="136" spans="1:6">
      <c r="A136" s="40" t="e">
        <f>IF(((ROW(Kutools_Chart!A136)-56)/100)&lt;=(投资收益表!$B$17+投资收益表!$B$18+投资收益表!$B$19+投资收益表!$B$20+投资收益表!$B$21+投资收益表!$B$22),(MOD((ROW(Kutools_Chart!A136)- 57),10)+1),NA())</f>
        <v>#VALUE!</v>
      </c>
      <c r="B136" s="40" t="e">
        <f>IF(((ROW(Kutools_Chart!B136)-56)/100)&lt;=(投资收益表!$B$18+投资收益表!$B$19+投资收益表!$B$20+投资收益表!$B$21+投资收益表!$B$22),(MOD((ROW(Kutools_Chart!B136)- 57),10)+1),NA())</f>
        <v>#VALUE!</v>
      </c>
      <c r="C136" s="40" t="e">
        <f>IF(((ROW(Kutools_Chart!C136)-56)/100)&lt;=(投资收益表!$B$19+投资收益表!$B$20+投资收益表!$B$21+投资收益表!$B$22),(MOD((ROW(Kutools_Chart!C136)- 57),10)+1),NA())</f>
        <v>#VALUE!</v>
      </c>
      <c r="D136" s="40" t="e">
        <f>IF(((ROW(Kutools_Chart!D136)-56)/100)&lt;=(投资收益表!$B$20+投资收益表!$B$21+投资收益表!$B$22),(MOD((ROW(Kutools_Chart!D136)- 57),10)+1),NA())</f>
        <v>#VALUE!</v>
      </c>
      <c r="E136" s="40" t="e">
        <f>IF(((ROW(Kutools_Chart!E136)-56)/100)&lt;=(投资收益表!$B$21+投资收益表!$B$22),(MOD((ROW(Kutools_Chart!E136)- 57),10)+1),NA())</f>
        <v>#VALUE!</v>
      </c>
      <c r="F136" s="40">
        <f>IF(((ROW(Kutools_Chart!F136)-56)/100)&lt;=(投资收益表!$B$22),(MOD((ROW(Kutools_Chart!F136)- 57),10)+1),NA())</f>
        <v>10</v>
      </c>
    </row>
    <row r="137" spans="1:6">
      <c r="A137" s="40" t="e">
        <f>IF(((ROW(Kutools_Chart!A137)-56)/100)&lt;=(投资收益表!$B$17+投资收益表!$B$18+投资收益表!$B$19+投资收益表!$B$20+投资收益表!$B$21+投资收益表!$B$22),(MOD((ROW(Kutools_Chart!A137)- 57),10)+1),NA())</f>
        <v>#VALUE!</v>
      </c>
      <c r="B137" s="40" t="e">
        <f>IF(((ROW(Kutools_Chart!B137)-56)/100)&lt;=(投资收益表!$B$18+投资收益表!$B$19+投资收益表!$B$20+投资收益表!$B$21+投资收益表!$B$22),(MOD((ROW(Kutools_Chart!B137)- 57),10)+1),NA())</f>
        <v>#VALUE!</v>
      </c>
      <c r="C137" s="40" t="e">
        <f>IF(((ROW(Kutools_Chart!C137)-56)/100)&lt;=(投资收益表!$B$19+投资收益表!$B$20+投资收益表!$B$21+投资收益表!$B$22),(MOD((ROW(Kutools_Chart!C137)- 57),10)+1),NA())</f>
        <v>#VALUE!</v>
      </c>
      <c r="D137" s="40" t="e">
        <f>IF(((ROW(Kutools_Chart!D137)-56)/100)&lt;=(投资收益表!$B$20+投资收益表!$B$21+投资收益表!$B$22),(MOD((ROW(Kutools_Chart!D137)- 57),10)+1),NA())</f>
        <v>#VALUE!</v>
      </c>
      <c r="E137" s="40" t="e">
        <f>IF(((ROW(Kutools_Chart!E137)-56)/100)&lt;=(投资收益表!$B$21+投资收益表!$B$22),(MOD((ROW(Kutools_Chart!E137)- 57),10)+1),NA())</f>
        <v>#VALUE!</v>
      </c>
      <c r="F137" s="40">
        <f>IF(((ROW(Kutools_Chart!F137)-56)/100)&lt;=(投资收益表!$B$22),(MOD((ROW(Kutools_Chart!F137)- 57),10)+1),NA())</f>
        <v>1</v>
      </c>
    </row>
    <row r="138" spans="1:6">
      <c r="A138" s="40" t="e">
        <f>IF(((ROW(Kutools_Chart!A138)-56)/100)&lt;=(投资收益表!$B$17+投资收益表!$B$18+投资收益表!$B$19+投资收益表!$B$20+投资收益表!$B$21+投资收益表!$B$22),(MOD((ROW(Kutools_Chart!A138)- 57),10)+1),NA())</f>
        <v>#VALUE!</v>
      </c>
      <c r="B138" s="40" t="e">
        <f>IF(((ROW(Kutools_Chart!B138)-56)/100)&lt;=(投资收益表!$B$18+投资收益表!$B$19+投资收益表!$B$20+投资收益表!$B$21+投资收益表!$B$22),(MOD((ROW(Kutools_Chart!B138)- 57),10)+1),NA())</f>
        <v>#VALUE!</v>
      </c>
      <c r="C138" s="40" t="e">
        <f>IF(((ROW(Kutools_Chart!C138)-56)/100)&lt;=(投资收益表!$B$19+投资收益表!$B$20+投资收益表!$B$21+投资收益表!$B$22),(MOD((ROW(Kutools_Chart!C138)- 57),10)+1),NA())</f>
        <v>#VALUE!</v>
      </c>
      <c r="D138" s="40" t="e">
        <f>IF(((ROW(Kutools_Chart!D138)-56)/100)&lt;=(投资收益表!$B$20+投资收益表!$B$21+投资收益表!$B$22),(MOD((ROW(Kutools_Chart!D138)- 57),10)+1),NA())</f>
        <v>#VALUE!</v>
      </c>
      <c r="E138" s="40" t="e">
        <f>IF(((ROW(Kutools_Chart!E138)-56)/100)&lt;=(投资收益表!$B$21+投资收益表!$B$22),(MOD((ROW(Kutools_Chart!E138)- 57),10)+1),NA())</f>
        <v>#VALUE!</v>
      </c>
      <c r="F138" s="40">
        <f>IF(((ROW(Kutools_Chart!F138)-56)/100)&lt;=(投资收益表!$B$22),(MOD((ROW(Kutools_Chart!F138)- 57),10)+1),NA())</f>
        <v>2</v>
      </c>
    </row>
    <row r="139" spans="1:6">
      <c r="A139" s="40" t="e">
        <f>IF(((ROW(Kutools_Chart!A139)-56)/100)&lt;=(投资收益表!$B$17+投资收益表!$B$18+投资收益表!$B$19+投资收益表!$B$20+投资收益表!$B$21+投资收益表!$B$22),(MOD((ROW(Kutools_Chart!A139)- 57),10)+1),NA())</f>
        <v>#VALUE!</v>
      </c>
      <c r="B139" s="40" t="e">
        <f>IF(((ROW(Kutools_Chart!B139)-56)/100)&lt;=(投资收益表!$B$18+投资收益表!$B$19+投资收益表!$B$20+投资收益表!$B$21+投资收益表!$B$22),(MOD((ROW(Kutools_Chart!B139)- 57),10)+1),NA())</f>
        <v>#VALUE!</v>
      </c>
      <c r="C139" s="40" t="e">
        <f>IF(((ROW(Kutools_Chart!C139)-56)/100)&lt;=(投资收益表!$B$19+投资收益表!$B$20+投资收益表!$B$21+投资收益表!$B$22),(MOD((ROW(Kutools_Chart!C139)- 57),10)+1),NA())</f>
        <v>#VALUE!</v>
      </c>
      <c r="D139" s="40" t="e">
        <f>IF(((ROW(Kutools_Chart!D139)-56)/100)&lt;=(投资收益表!$B$20+投资收益表!$B$21+投资收益表!$B$22),(MOD((ROW(Kutools_Chart!D139)- 57),10)+1),NA())</f>
        <v>#VALUE!</v>
      </c>
      <c r="E139" s="40" t="e">
        <f>IF(((ROW(Kutools_Chart!E139)-56)/100)&lt;=(投资收益表!$B$21+投资收益表!$B$22),(MOD((ROW(Kutools_Chart!E139)- 57),10)+1),NA())</f>
        <v>#VALUE!</v>
      </c>
      <c r="F139" s="40">
        <f>IF(((ROW(Kutools_Chart!F139)-56)/100)&lt;=(投资收益表!$B$22),(MOD((ROW(Kutools_Chart!F139)- 57),10)+1),NA())</f>
        <v>3</v>
      </c>
    </row>
    <row r="140" spans="1:6">
      <c r="A140" s="40" t="e">
        <f>IF(((ROW(Kutools_Chart!A140)-56)/100)&lt;=(投资收益表!$B$17+投资收益表!$B$18+投资收益表!$B$19+投资收益表!$B$20+投资收益表!$B$21+投资收益表!$B$22),(MOD((ROW(Kutools_Chart!A140)- 57),10)+1),NA())</f>
        <v>#VALUE!</v>
      </c>
      <c r="B140" s="40" t="e">
        <f>IF(((ROW(Kutools_Chart!B140)-56)/100)&lt;=(投资收益表!$B$18+投资收益表!$B$19+投资收益表!$B$20+投资收益表!$B$21+投资收益表!$B$22),(MOD((ROW(Kutools_Chart!B140)- 57),10)+1),NA())</f>
        <v>#VALUE!</v>
      </c>
      <c r="C140" s="40" t="e">
        <f>IF(((ROW(Kutools_Chart!C140)-56)/100)&lt;=(投资收益表!$B$19+投资收益表!$B$20+投资收益表!$B$21+投资收益表!$B$22),(MOD((ROW(Kutools_Chart!C140)- 57),10)+1),NA())</f>
        <v>#VALUE!</v>
      </c>
      <c r="D140" s="40" t="e">
        <f>IF(((ROW(Kutools_Chart!D140)-56)/100)&lt;=(投资收益表!$B$20+投资收益表!$B$21+投资收益表!$B$22),(MOD((ROW(Kutools_Chart!D140)- 57),10)+1),NA())</f>
        <v>#VALUE!</v>
      </c>
      <c r="E140" s="40" t="e">
        <f>IF(((ROW(Kutools_Chart!E140)-56)/100)&lt;=(投资收益表!$B$21+投资收益表!$B$22),(MOD((ROW(Kutools_Chart!E140)- 57),10)+1),NA())</f>
        <v>#VALUE!</v>
      </c>
      <c r="F140" s="40">
        <f>IF(((ROW(Kutools_Chart!F140)-56)/100)&lt;=(投资收益表!$B$22),(MOD((ROW(Kutools_Chart!F140)- 57),10)+1),NA())</f>
        <v>4</v>
      </c>
    </row>
    <row r="141" spans="1:6">
      <c r="A141" s="40" t="e">
        <f>IF(((ROW(Kutools_Chart!A141)-56)/100)&lt;=(投资收益表!$B$17+投资收益表!$B$18+投资收益表!$B$19+投资收益表!$B$20+投资收益表!$B$21+投资收益表!$B$22),(MOD((ROW(Kutools_Chart!A141)- 57),10)+1),NA())</f>
        <v>#VALUE!</v>
      </c>
      <c r="B141" s="40" t="e">
        <f>IF(((ROW(Kutools_Chart!B141)-56)/100)&lt;=(投资收益表!$B$18+投资收益表!$B$19+投资收益表!$B$20+投资收益表!$B$21+投资收益表!$B$22),(MOD((ROW(Kutools_Chart!B141)- 57),10)+1),NA())</f>
        <v>#VALUE!</v>
      </c>
      <c r="C141" s="40" t="e">
        <f>IF(((ROW(Kutools_Chart!C141)-56)/100)&lt;=(投资收益表!$B$19+投资收益表!$B$20+投资收益表!$B$21+投资收益表!$B$22),(MOD((ROW(Kutools_Chart!C141)- 57),10)+1),NA())</f>
        <v>#VALUE!</v>
      </c>
      <c r="D141" s="40" t="e">
        <f>IF(((ROW(Kutools_Chart!D141)-56)/100)&lt;=(投资收益表!$B$20+投资收益表!$B$21+投资收益表!$B$22),(MOD((ROW(Kutools_Chart!D141)- 57),10)+1),NA())</f>
        <v>#VALUE!</v>
      </c>
      <c r="E141" s="40" t="e">
        <f>IF(((ROW(Kutools_Chart!E141)-56)/100)&lt;=(投资收益表!$B$21+投资收益表!$B$22),(MOD((ROW(Kutools_Chart!E141)- 57),10)+1),NA())</f>
        <v>#VALUE!</v>
      </c>
      <c r="F141" s="40">
        <f>IF(((ROW(Kutools_Chart!F141)-56)/100)&lt;=(投资收益表!$B$22),(MOD((ROW(Kutools_Chart!F141)- 57),10)+1),NA())</f>
        <v>5</v>
      </c>
    </row>
    <row r="142" spans="1:6">
      <c r="A142" s="40" t="e">
        <f>IF(((ROW(Kutools_Chart!A142)-56)/100)&lt;=(投资收益表!$B$17+投资收益表!$B$18+投资收益表!$B$19+投资收益表!$B$20+投资收益表!$B$21+投资收益表!$B$22),(MOD((ROW(Kutools_Chart!A142)- 57),10)+1),NA())</f>
        <v>#VALUE!</v>
      </c>
      <c r="B142" s="40" t="e">
        <f>IF(((ROW(Kutools_Chart!B142)-56)/100)&lt;=(投资收益表!$B$18+投资收益表!$B$19+投资收益表!$B$20+投资收益表!$B$21+投资收益表!$B$22),(MOD((ROW(Kutools_Chart!B142)- 57),10)+1),NA())</f>
        <v>#VALUE!</v>
      </c>
      <c r="C142" s="40" t="e">
        <f>IF(((ROW(Kutools_Chart!C142)-56)/100)&lt;=(投资收益表!$B$19+投资收益表!$B$20+投资收益表!$B$21+投资收益表!$B$22),(MOD((ROW(Kutools_Chart!C142)- 57),10)+1),NA())</f>
        <v>#VALUE!</v>
      </c>
      <c r="D142" s="40" t="e">
        <f>IF(((ROW(Kutools_Chart!D142)-56)/100)&lt;=(投资收益表!$B$20+投资收益表!$B$21+投资收益表!$B$22),(MOD((ROW(Kutools_Chart!D142)- 57),10)+1),NA())</f>
        <v>#VALUE!</v>
      </c>
      <c r="E142" s="40" t="e">
        <f>IF(((ROW(Kutools_Chart!E142)-56)/100)&lt;=(投资收益表!$B$21+投资收益表!$B$22),(MOD((ROW(Kutools_Chart!E142)- 57),10)+1),NA())</f>
        <v>#VALUE!</v>
      </c>
      <c r="F142" s="40">
        <f>IF(((ROW(Kutools_Chart!F142)-56)/100)&lt;=(投资收益表!$B$22),(MOD((ROW(Kutools_Chart!F142)- 57),10)+1),NA())</f>
        <v>6</v>
      </c>
    </row>
    <row r="143" spans="1:6">
      <c r="A143" s="40" t="e">
        <f>IF(((ROW(Kutools_Chart!A143)-56)/100)&lt;=(投资收益表!$B$17+投资收益表!$B$18+投资收益表!$B$19+投资收益表!$B$20+投资收益表!$B$21+投资收益表!$B$22),(MOD((ROW(Kutools_Chart!A143)- 57),10)+1),NA())</f>
        <v>#VALUE!</v>
      </c>
      <c r="B143" s="40" t="e">
        <f>IF(((ROW(Kutools_Chart!B143)-56)/100)&lt;=(投资收益表!$B$18+投资收益表!$B$19+投资收益表!$B$20+投资收益表!$B$21+投资收益表!$B$22),(MOD((ROW(Kutools_Chart!B143)- 57),10)+1),NA())</f>
        <v>#VALUE!</v>
      </c>
      <c r="C143" s="40" t="e">
        <f>IF(((ROW(Kutools_Chart!C143)-56)/100)&lt;=(投资收益表!$B$19+投资收益表!$B$20+投资收益表!$B$21+投资收益表!$B$22),(MOD((ROW(Kutools_Chart!C143)- 57),10)+1),NA())</f>
        <v>#VALUE!</v>
      </c>
      <c r="D143" s="40" t="e">
        <f>IF(((ROW(Kutools_Chart!D143)-56)/100)&lt;=(投资收益表!$B$20+投资收益表!$B$21+投资收益表!$B$22),(MOD((ROW(Kutools_Chart!D143)- 57),10)+1),NA())</f>
        <v>#VALUE!</v>
      </c>
      <c r="E143" s="40" t="e">
        <f>IF(((ROW(Kutools_Chart!E143)-56)/100)&lt;=(投资收益表!$B$21+投资收益表!$B$22),(MOD((ROW(Kutools_Chart!E143)- 57),10)+1),NA())</f>
        <v>#VALUE!</v>
      </c>
      <c r="F143" s="40">
        <f>IF(((ROW(Kutools_Chart!F143)-56)/100)&lt;=(投资收益表!$B$22),(MOD((ROW(Kutools_Chart!F143)- 57),10)+1),NA())</f>
        <v>7</v>
      </c>
    </row>
    <row r="144" spans="1:6">
      <c r="A144" s="40" t="e">
        <f>IF(((ROW(Kutools_Chart!A144)-56)/100)&lt;=(投资收益表!$B$17+投资收益表!$B$18+投资收益表!$B$19+投资收益表!$B$20+投资收益表!$B$21+投资收益表!$B$22),(MOD((ROW(Kutools_Chart!A144)- 57),10)+1),NA())</f>
        <v>#VALUE!</v>
      </c>
      <c r="B144" s="40" t="e">
        <f>IF(((ROW(Kutools_Chart!B144)-56)/100)&lt;=(投资收益表!$B$18+投资收益表!$B$19+投资收益表!$B$20+投资收益表!$B$21+投资收益表!$B$22),(MOD((ROW(Kutools_Chart!B144)- 57),10)+1),NA())</f>
        <v>#VALUE!</v>
      </c>
      <c r="C144" s="40" t="e">
        <f>IF(((ROW(Kutools_Chart!C144)-56)/100)&lt;=(投资收益表!$B$19+投资收益表!$B$20+投资收益表!$B$21+投资收益表!$B$22),(MOD((ROW(Kutools_Chart!C144)- 57),10)+1),NA())</f>
        <v>#VALUE!</v>
      </c>
      <c r="D144" s="40" t="e">
        <f>IF(((ROW(Kutools_Chart!D144)-56)/100)&lt;=(投资收益表!$B$20+投资收益表!$B$21+投资收益表!$B$22),(MOD((ROW(Kutools_Chart!D144)- 57),10)+1),NA())</f>
        <v>#VALUE!</v>
      </c>
      <c r="E144" s="40" t="e">
        <f>IF(((ROW(Kutools_Chart!E144)-56)/100)&lt;=(投资收益表!$B$21+投资收益表!$B$22),(MOD((ROW(Kutools_Chart!E144)- 57),10)+1),NA())</f>
        <v>#VALUE!</v>
      </c>
      <c r="F144" s="40">
        <f>IF(((ROW(Kutools_Chart!F144)-56)/100)&lt;=(投资收益表!$B$22),(MOD((ROW(Kutools_Chart!F144)- 57),10)+1),NA())</f>
        <v>8</v>
      </c>
    </row>
    <row r="145" spans="1:6">
      <c r="A145" s="40" t="e">
        <f>IF(((ROW(Kutools_Chart!A145)-56)/100)&lt;=(投资收益表!$B$17+投资收益表!$B$18+投资收益表!$B$19+投资收益表!$B$20+投资收益表!$B$21+投资收益表!$B$22),(MOD((ROW(Kutools_Chart!A145)- 57),10)+1),NA())</f>
        <v>#VALUE!</v>
      </c>
      <c r="B145" s="40" t="e">
        <f>IF(((ROW(Kutools_Chart!B145)-56)/100)&lt;=(投资收益表!$B$18+投资收益表!$B$19+投资收益表!$B$20+投资收益表!$B$21+投资收益表!$B$22),(MOD((ROW(Kutools_Chart!B145)- 57),10)+1),NA())</f>
        <v>#VALUE!</v>
      </c>
      <c r="C145" s="40" t="e">
        <f>IF(((ROW(Kutools_Chart!C145)-56)/100)&lt;=(投资收益表!$B$19+投资收益表!$B$20+投资收益表!$B$21+投资收益表!$B$22),(MOD((ROW(Kutools_Chart!C145)- 57),10)+1),NA())</f>
        <v>#VALUE!</v>
      </c>
      <c r="D145" s="40" t="e">
        <f>IF(((ROW(Kutools_Chart!D145)-56)/100)&lt;=(投资收益表!$B$20+投资收益表!$B$21+投资收益表!$B$22),(MOD((ROW(Kutools_Chart!D145)- 57),10)+1),NA())</f>
        <v>#VALUE!</v>
      </c>
      <c r="E145" s="40" t="e">
        <f>IF(((ROW(Kutools_Chart!E145)-56)/100)&lt;=(投资收益表!$B$21+投资收益表!$B$22),(MOD((ROW(Kutools_Chart!E145)- 57),10)+1),NA())</f>
        <v>#VALUE!</v>
      </c>
      <c r="F145" s="40">
        <f>IF(((ROW(Kutools_Chart!F145)-56)/100)&lt;=(投资收益表!$B$22),(MOD((ROW(Kutools_Chart!F145)- 57),10)+1),NA())</f>
        <v>9</v>
      </c>
    </row>
    <row r="146" spans="1:6">
      <c r="A146" s="40" t="e">
        <f>IF(((ROW(Kutools_Chart!A146)-56)/100)&lt;=(投资收益表!$B$17+投资收益表!$B$18+投资收益表!$B$19+投资收益表!$B$20+投资收益表!$B$21+投资收益表!$B$22),(MOD((ROW(Kutools_Chart!A146)- 57),10)+1),NA())</f>
        <v>#VALUE!</v>
      </c>
      <c r="B146" s="40" t="e">
        <f>IF(((ROW(Kutools_Chart!B146)-56)/100)&lt;=(投资收益表!$B$18+投资收益表!$B$19+投资收益表!$B$20+投资收益表!$B$21+投资收益表!$B$22),(MOD((ROW(Kutools_Chart!B146)- 57),10)+1),NA())</f>
        <v>#VALUE!</v>
      </c>
      <c r="C146" s="40" t="e">
        <f>IF(((ROW(Kutools_Chart!C146)-56)/100)&lt;=(投资收益表!$B$19+投资收益表!$B$20+投资收益表!$B$21+投资收益表!$B$22),(MOD((ROW(Kutools_Chart!C146)- 57),10)+1),NA())</f>
        <v>#VALUE!</v>
      </c>
      <c r="D146" s="40" t="e">
        <f>IF(((ROW(Kutools_Chart!D146)-56)/100)&lt;=(投资收益表!$B$20+投资收益表!$B$21+投资收益表!$B$22),(MOD((ROW(Kutools_Chart!D146)- 57),10)+1),NA())</f>
        <v>#VALUE!</v>
      </c>
      <c r="E146" s="40" t="e">
        <f>IF(((ROW(Kutools_Chart!E146)-56)/100)&lt;=(投资收益表!$B$21+投资收益表!$B$22),(MOD((ROW(Kutools_Chart!E146)- 57),10)+1),NA())</f>
        <v>#VALUE!</v>
      </c>
      <c r="F146" s="40">
        <f>IF(((ROW(Kutools_Chart!F146)-56)/100)&lt;=(投资收益表!$B$22),(MOD((ROW(Kutools_Chart!F146)- 57),10)+1),NA())</f>
        <v>10</v>
      </c>
    </row>
    <row r="147" spans="1:6">
      <c r="A147" s="40" t="e">
        <f>IF(((ROW(Kutools_Chart!A147)-56)/100)&lt;=(投资收益表!$B$17+投资收益表!$B$18+投资收益表!$B$19+投资收益表!$B$20+投资收益表!$B$21+投资收益表!$B$22),(MOD((ROW(Kutools_Chart!A147)- 57),10)+1),NA())</f>
        <v>#VALUE!</v>
      </c>
      <c r="B147" s="40" t="e">
        <f>IF(((ROW(Kutools_Chart!B147)-56)/100)&lt;=(投资收益表!$B$18+投资收益表!$B$19+投资收益表!$B$20+投资收益表!$B$21+投资收益表!$B$22),(MOD((ROW(Kutools_Chart!B147)- 57),10)+1),NA())</f>
        <v>#VALUE!</v>
      </c>
      <c r="C147" s="40" t="e">
        <f>IF(((ROW(Kutools_Chart!C147)-56)/100)&lt;=(投资收益表!$B$19+投资收益表!$B$20+投资收益表!$B$21+投资收益表!$B$22),(MOD((ROW(Kutools_Chart!C147)- 57),10)+1),NA())</f>
        <v>#VALUE!</v>
      </c>
      <c r="D147" s="40" t="e">
        <f>IF(((ROW(Kutools_Chart!D147)-56)/100)&lt;=(投资收益表!$B$20+投资收益表!$B$21+投资收益表!$B$22),(MOD((ROW(Kutools_Chart!D147)- 57),10)+1),NA())</f>
        <v>#VALUE!</v>
      </c>
      <c r="E147" s="40" t="e">
        <f>IF(((ROW(Kutools_Chart!E147)-56)/100)&lt;=(投资收益表!$B$21+投资收益表!$B$22),(MOD((ROW(Kutools_Chart!E147)- 57),10)+1),NA())</f>
        <v>#VALUE!</v>
      </c>
      <c r="F147" s="40">
        <f>IF(((ROW(Kutools_Chart!F147)-56)/100)&lt;=(投资收益表!$B$22),(MOD((ROW(Kutools_Chart!F147)- 57),10)+1),NA())</f>
        <v>1</v>
      </c>
    </row>
    <row r="148" spans="1:6">
      <c r="A148" s="40" t="e">
        <f>IF(((ROW(Kutools_Chart!A148)-56)/100)&lt;=(投资收益表!$B$17+投资收益表!$B$18+投资收益表!$B$19+投资收益表!$B$20+投资收益表!$B$21+投资收益表!$B$22),(MOD((ROW(Kutools_Chart!A148)- 57),10)+1),NA())</f>
        <v>#VALUE!</v>
      </c>
      <c r="B148" s="40" t="e">
        <f>IF(((ROW(Kutools_Chart!B148)-56)/100)&lt;=(投资收益表!$B$18+投资收益表!$B$19+投资收益表!$B$20+投资收益表!$B$21+投资收益表!$B$22),(MOD((ROW(Kutools_Chart!B148)- 57),10)+1),NA())</f>
        <v>#VALUE!</v>
      </c>
      <c r="C148" s="40" t="e">
        <f>IF(((ROW(Kutools_Chart!C148)-56)/100)&lt;=(投资收益表!$B$19+投资收益表!$B$20+投资收益表!$B$21+投资收益表!$B$22),(MOD((ROW(Kutools_Chart!C148)- 57),10)+1),NA())</f>
        <v>#VALUE!</v>
      </c>
      <c r="D148" s="40" t="e">
        <f>IF(((ROW(Kutools_Chart!D148)-56)/100)&lt;=(投资收益表!$B$20+投资收益表!$B$21+投资收益表!$B$22),(MOD((ROW(Kutools_Chart!D148)- 57),10)+1),NA())</f>
        <v>#VALUE!</v>
      </c>
      <c r="E148" s="40" t="e">
        <f>IF(((ROW(Kutools_Chart!E148)-56)/100)&lt;=(投资收益表!$B$21+投资收益表!$B$22),(MOD((ROW(Kutools_Chart!E148)- 57),10)+1),NA())</f>
        <v>#VALUE!</v>
      </c>
      <c r="F148" s="40">
        <f>IF(((ROW(Kutools_Chart!F148)-56)/100)&lt;=(投资收益表!$B$22),(MOD((ROW(Kutools_Chart!F148)- 57),10)+1),NA())</f>
        <v>2</v>
      </c>
    </row>
    <row r="149" spans="1:6">
      <c r="A149" s="40" t="e">
        <f>IF(((ROW(Kutools_Chart!A149)-56)/100)&lt;=(投资收益表!$B$17+投资收益表!$B$18+投资收益表!$B$19+投资收益表!$B$20+投资收益表!$B$21+投资收益表!$B$22),(MOD((ROW(Kutools_Chart!A149)- 57),10)+1),NA())</f>
        <v>#VALUE!</v>
      </c>
      <c r="B149" s="40" t="e">
        <f>IF(((ROW(Kutools_Chart!B149)-56)/100)&lt;=(投资收益表!$B$18+投资收益表!$B$19+投资收益表!$B$20+投资收益表!$B$21+投资收益表!$B$22),(MOD((ROW(Kutools_Chart!B149)- 57),10)+1),NA())</f>
        <v>#VALUE!</v>
      </c>
      <c r="C149" s="40" t="e">
        <f>IF(((ROW(Kutools_Chart!C149)-56)/100)&lt;=(投资收益表!$B$19+投资收益表!$B$20+投资收益表!$B$21+投资收益表!$B$22),(MOD((ROW(Kutools_Chart!C149)- 57),10)+1),NA())</f>
        <v>#VALUE!</v>
      </c>
      <c r="D149" s="40" t="e">
        <f>IF(((ROW(Kutools_Chart!D149)-56)/100)&lt;=(投资收益表!$B$20+投资收益表!$B$21+投资收益表!$B$22),(MOD((ROW(Kutools_Chart!D149)- 57),10)+1),NA())</f>
        <v>#VALUE!</v>
      </c>
      <c r="E149" s="40" t="e">
        <f>IF(((ROW(Kutools_Chart!E149)-56)/100)&lt;=(投资收益表!$B$21+投资收益表!$B$22),(MOD((ROW(Kutools_Chart!E149)- 57),10)+1),NA())</f>
        <v>#VALUE!</v>
      </c>
      <c r="F149" s="40">
        <f>IF(((ROW(Kutools_Chart!F149)-56)/100)&lt;=(投资收益表!$B$22),(MOD((ROW(Kutools_Chart!F149)- 57),10)+1),NA())</f>
        <v>3</v>
      </c>
    </row>
    <row r="150" spans="1:6">
      <c r="A150" s="40" t="e">
        <f>IF(((ROW(Kutools_Chart!A150)-56)/100)&lt;=(投资收益表!$B$17+投资收益表!$B$18+投资收益表!$B$19+投资收益表!$B$20+投资收益表!$B$21+投资收益表!$B$22),(MOD((ROW(Kutools_Chart!A150)- 57),10)+1),NA())</f>
        <v>#VALUE!</v>
      </c>
      <c r="B150" s="40" t="e">
        <f>IF(((ROW(Kutools_Chart!B150)-56)/100)&lt;=(投资收益表!$B$18+投资收益表!$B$19+投资收益表!$B$20+投资收益表!$B$21+投资收益表!$B$22),(MOD((ROW(Kutools_Chart!B150)- 57),10)+1),NA())</f>
        <v>#VALUE!</v>
      </c>
      <c r="C150" s="40" t="e">
        <f>IF(((ROW(Kutools_Chart!C150)-56)/100)&lt;=(投资收益表!$B$19+投资收益表!$B$20+投资收益表!$B$21+投资收益表!$B$22),(MOD((ROW(Kutools_Chart!C150)- 57),10)+1),NA())</f>
        <v>#VALUE!</v>
      </c>
      <c r="D150" s="40" t="e">
        <f>IF(((ROW(Kutools_Chart!D150)-56)/100)&lt;=(投资收益表!$B$20+投资收益表!$B$21+投资收益表!$B$22),(MOD((ROW(Kutools_Chart!D150)- 57),10)+1),NA())</f>
        <v>#VALUE!</v>
      </c>
      <c r="E150" s="40" t="e">
        <f>IF(((ROW(Kutools_Chart!E150)-56)/100)&lt;=(投资收益表!$B$21+投资收益表!$B$22),(MOD((ROW(Kutools_Chart!E150)- 57),10)+1),NA())</f>
        <v>#VALUE!</v>
      </c>
      <c r="F150" s="40">
        <f>IF(((ROW(Kutools_Chart!F150)-56)/100)&lt;=(投资收益表!$B$22),(MOD((ROW(Kutools_Chart!F150)- 57),10)+1),NA())</f>
        <v>4</v>
      </c>
    </row>
    <row r="151" spans="1:6">
      <c r="A151" s="40" t="e">
        <f>IF(((ROW(Kutools_Chart!A151)-56)/100)&lt;=(投资收益表!$B$17+投资收益表!$B$18+投资收益表!$B$19+投资收益表!$B$20+投资收益表!$B$21+投资收益表!$B$22),(MOD((ROW(Kutools_Chart!A151)- 57),10)+1),NA())</f>
        <v>#VALUE!</v>
      </c>
      <c r="B151" s="40" t="e">
        <f>IF(((ROW(Kutools_Chart!B151)-56)/100)&lt;=(投资收益表!$B$18+投资收益表!$B$19+投资收益表!$B$20+投资收益表!$B$21+投资收益表!$B$22),(MOD((ROW(Kutools_Chart!B151)- 57),10)+1),NA())</f>
        <v>#VALUE!</v>
      </c>
      <c r="C151" s="40" t="e">
        <f>IF(((ROW(Kutools_Chart!C151)-56)/100)&lt;=(投资收益表!$B$19+投资收益表!$B$20+投资收益表!$B$21+投资收益表!$B$22),(MOD((ROW(Kutools_Chart!C151)- 57),10)+1),NA())</f>
        <v>#VALUE!</v>
      </c>
      <c r="D151" s="40" t="e">
        <f>IF(((ROW(Kutools_Chart!D151)-56)/100)&lt;=(投资收益表!$B$20+投资收益表!$B$21+投资收益表!$B$22),(MOD((ROW(Kutools_Chart!D151)- 57),10)+1),NA())</f>
        <v>#VALUE!</v>
      </c>
      <c r="E151" s="40" t="e">
        <f>IF(((ROW(Kutools_Chart!E151)-56)/100)&lt;=(投资收益表!$B$21+投资收益表!$B$22),(MOD((ROW(Kutools_Chart!E151)- 57),10)+1),NA())</f>
        <v>#VALUE!</v>
      </c>
      <c r="F151" s="40">
        <f>IF(((ROW(Kutools_Chart!F151)-56)/100)&lt;=(投资收益表!$B$22),(MOD((ROW(Kutools_Chart!F151)- 57),10)+1),NA())</f>
        <v>5</v>
      </c>
    </row>
    <row r="152" spans="1:6">
      <c r="A152" s="40" t="e">
        <f>IF(((ROW(Kutools_Chart!A152)-56)/100)&lt;=(投资收益表!$B$17+投资收益表!$B$18+投资收益表!$B$19+投资收益表!$B$20+投资收益表!$B$21+投资收益表!$B$22),(MOD((ROW(Kutools_Chart!A152)- 57),10)+1),NA())</f>
        <v>#VALUE!</v>
      </c>
      <c r="B152" s="40" t="e">
        <f>IF(((ROW(Kutools_Chart!B152)-56)/100)&lt;=(投资收益表!$B$18+投资收益表!$B$19+投资收益表!$B$20+投资收益表!$B$21+投资收益表!$B$22),(MOD((ROW(Kutools_Chart!B152)- 57),10)+1),NA())</f>
        <v>#VALUE!</v>
      </c>
      <c r="C152" s="40" t="e">
        <f>IF(((ROW(Kutools_Chart!C152)-56)/100)&lt;=(投资收益表!$B$19+投资收益表!$B$20+投资收益表!$B$21+投资收益表!$B$22),(MOD((ROW(Kutools_Chart!C152)- 57),10)+1),NA())</f>
        <v>#VALUE!</v>
      </c>
      <c r="D152" s="40" t="e">
        <f>IF(((ROW(Kutools_Chart!D152)-56)/100)&lt;=(投资收益表!$B$20+投资收益表!$B$21+投资收益表!$B$22),(MOD((ROW(Kutools_Chart!D152)- 57),10)+1),NA())</f>
        <v>#VALUE!</v>
      </c>
      <c r="E152" s="40" t="e">
        <f>IF(((ROW(Kutools_Chart!E152)-56)/100)&lt;=(投资收益表!$B$21+投资收益表!$B$22),(MOD((ROW(Kutools_Chart!E152)- 57),10)+1),NA())</f>
        <v>#VALUE!</v>
      </c>
      <c r="F152" s="40">
        <f>IF(((ROW(Kutools_Chart!F152)-56)/100)&lt;=(投资收益表!$B$22),(MOD((ROW(Kutools_Chart!F152)- 57),10)+1),NA())</f>
        <v>6</v>
      </c>
    </row>
    <row r="153" spans="1:6">
      <c r="A153" s="40" t="e">
        <f>IF(((ROW(Kutools_Chart!A153)-56)/100)&lt;=(投资收益表!$B$17+投资收益表!$B$18+投资收益表!$B$19+投资收益表!$B$20+投资收益表!$B$21+投资收益表!$B$22),(MOD((ROW(Kutools_Chart!A153)- 57),10)+1),NA())</f>
        <v>#VALUE!</v>
      </c>
      <c r="B153" s="40" t="e">
        <f>IF(((ROW(Kutools_Chart!B153)-56)/100)&lt;=(投资收益表!$B$18+投资收益表!$B$19+投资收益表!$B$20+投资收益表!$B$21+投资收益表!$B$22),(MOD((ROW(Kutools_Chart!B153)- 57),10)+1),NA())</f>
        <v>#VALUE!</v>
      </c>
      <c r="C153" s="40" t="e">
        <f>IF(((ROW(Kutools_Chart!C153)-56)/100)&lt;=(投资收益表!$B$19+投资收益表!$B$20+投资收益表!$B$21+投资收益表!$B$22),(MOD((ROW(Kutools_Chart!C153)- 57),10)+1),NA())</f>
        <v>#VALUE!</v>
      </c>
      <c r="D153" s="40" t="e">
        <f>IF(((ROW(Kutools_Chart!D153)-56)/100)&lt;=(投资收益表!$B$20+投资收益表!$B$21+投资收益表!$B$22),(MOD((ROW(Kutools_Chart!D153)- 57),10)+1),NA())</f>
        <v>#VALUE!</v>
      </c>
      <c r="E153" s="40" t="e">
        <f>IF(((ROW(Kutools_Chart!E153)-56)/100)&lt;=(投资收益表!$B$21+投资收益表!$B$22),(MOD((ROW(Kutools_Chart!E153)- 57),10)+1),NA())</f>
        <v>#VALUE!</v>
      </c>
      <c r="F153" s="40">
        <f>IF(((ROW(Kutools_Chart!F153)-56)/100)&lt;=(投资收益表!$B$22),(MOD((ROW(Kutools_Chart!F153)- 57),10)+1),NA())</f>
        <v>7</v>
      </c>
    </row>
    <row r="154" spans="1:6">
      <c r="A154" s="40" t="e">
        <f>IF(((ROW(Kutools_Chart!A154)-56)/100)&lt;=(投资收益表!$B$17+投资收益表!$B$18+投资收益表!$B$19+投资收益表!$B$20+投资收益表!$B$21+投资收益表!$B$22),(MOD((ROW(Kutools_Chart!A154)- 57),10)+1),NA())</f>
        <v>#VALUE!</v>
      </c>
      <c r="B154" s="40" t="e">
        <f>IF(((ROW(Kutools_Chart!B154)-56)/100)&lt;=(投资收益表!$B$18+投资收益表!$B$19+投资收益表!$B$20+投资收益表!$B$21+投资收益表!$B$22),(MOD((ROW(Kutools_Chart!B154)- 57),10)+1),NA())</f>
        <v>#VALUE!</v>
      </c>
      <c r="C154" s="40" t="e">
        <f>IF(((ROW(Kutools_Chart!C154)-56)/100)&lt;=(投资收益表!$B$19+投资收益表!$B$20+投资收益表!$B$21+投资收益表!$B$22),(MOD((ROW(Kutools_Chart!C154)- 57),10)+1),NA())</f>
        <v>#VALUE!</v>
      </c>
      <c r="D154" s="40" t="e">
        <f>IF(((ROW(Kutools_Chart!D154)-56)/100)&lt;=(投资收益表!$B$20+投资收益表!$B$21+投资收益表!$B$22),(MOD((ROW(Kutools_Chart!D154)- 57),10)+1),NA())</f>
        <v>#VALUE!</v>
      </c>
      <c r="E154" s="40" t="e">
        <f>IF(((ROW(Kutools_Chart!E154)-56)/100)&lt;=(投资收益表!$B$21+投资收益表!$B$22),(MOD((ROW(Kutools_Chart!E154)- 57),10)+1),NA())</f>
        <v>#VALUE!</v>
      </c>
      <c r="F154" s="40">
        <f>IF(((ROW(Kutools_Chart!F154)-56)/100)&lt;=(投资收益表!$B$22),(MOD((ROW(Kutools_Chart!F154)- 57),10)+1),NA())</f>
        <v>8</v>
      </c>
    </row>
    <row r="155" spans="1:6">
      <c r="A155" s="40" t="e">
        <f>IF(((ROW(Kutools_Chart!A155)-56)/100)&lt;=(投资收益表!$B$17+投资收益表!$B$18+投资收益表!$B$19+投资收益表!$B$20+投资收益表!$B$21+投资收益表!$B$22),(MOD((ROW(Kutools_Chart!A155)- 57),10)+1),NA())</f>
        <v>#VALUE!</v>
      </c>
      <c r="B155" s="40" t="e">
        <f>IF(((ROW(Kutools_Chart!B155)-56)/100)&lt;=(投资收益表!$B$18+投资收益表!$B$19+投资收益表!$B$20+投资收益表!$B$21+投资收益表!$B$22),(MOD((ROW(Kutools_Chart!B155)- 57),10)+1),NA())</f>
        <v>#VALUE!</v>
      </c>
      <c r="C155" s="40" t="e">
        <f>IF(((ROW(Kutools_Chart!C155)-56)/100)&lt;=(投资收益表!$B$19+投资收益表!$B$20+投资收益表!$B$21+投资收益表!$B$22),(MOD((ROW(Kutools_Chart!C155)- 57),10)+1),NA())</f>
        <v>#VALUE!</v>
      </c>
      <c r="D155" s="40" t="e">
        <f>IF(((ROW(Kutools_Chart!D155)-56)/100)&lt;=(投资收益表!$B$20+投资收益表!$B$21+投资收益表!$B$22),(MOD((ROW(Kutools_Chart!D155)- 57),10)+1),NA())</f>
        <v>#VALUE!</v>
      </c>
      <c r="E155" s="40" t="e">
        <f>IF(((ROW(Kutools_Chart!E155)-56)/100)&lt;=(投资收益表!$B$21+投资收益表!$B$22),(MOD((ROW(Kutools_Chart!E155)- 57),10)+1),NA())</f>
        <v>#VALUE!</v>
      </c>
      <c r="F155" s="40">
        <f>IF(((ROW(Kutools_Chart!F155)-56)/100)&lt;=(投资收益表!$B$22),(MOD((ROW(Kutools_Chart!F155)- 57),10)+1),NA())</f>
        <v>9</v>
      </c>
    </row>
    <row r="156" spans="1:6">
      <c r="A156" s="40" t="e">
        <f>IF(((ROW(Kutools_Chart!A156)-56)/100)&lt;=(投资收益表!$B$17+投资收益表!$B$18+投资收益表!$B$19+投资收益表!$B$20+投资收益表!$B$21+投资收益表!$B$22),(MOD((ROW(Kutools_Chart!A156)- 57),10)+1),NA())</f>
        <v>#VALUE!</v>
      </c>
      <c r="B156" s="40" t="e">
        <f>IF(((ROW(Kutools_Chart!B156)-56)/100)&lt;=(投资收益表!$B$18+投资收益表!$B$19+投资收益表!$B$20+投资收益表!$B$21+投资收益表!$B$22),(MOD((ROW(Kutools_Chart!B156)- 57),10)+1),NA())</f>
        <v>#VALUE!</v>
      </c>
      <c r="C156" s="40" t="e">
        <f>IF(((ROW(Kutools_Chart!C156)-56)/100)&lt;=(投资收益表!$B$19+投资收益表!$B$20+投资收益表!$B$21+投资收益表!$B$22),(MOD((ROW(Kutools_Chart!C156)- 57),10)+1),NA())</f>
        <v>#VALUE!</v>
      </c>
      <c r="D156" s="40" t="e">
        <f>IF(((ROW(Kutools_Chart!D156)-56)/100)&lt;=(投资收益表!$B$20+投资收益表!$B$21+投资收益表!$B$22),(MOD((ROW(Kutools_Chart!D156)- 57),10)+1),NA())</f>
        <v>#VALUE!</v>
      </c>
      <c r="E156" s="40" t="e">
        <f>IF(((ROW(Kutools_Chart!E156)-56)/100)&lt;=(投资收益表!$B$21+投资收益表!$B$22),(MOD((ROW(Kutools_Chart!E156)- 57),10)+1),NA())</f>
        <v>#VALUE!</v>
      </c>
      <c r="F156" s="40">
        <f>IF(((ROW(Kutools_Chart!F156)-56)/100)&lt;=(投资收益表!$B$22),(MOD((ROW(Kutools_Chart!F156)- 57),10)+1),NA())</f>
        <v>10</v>
      </c>
    </row>
    <row r="157" spans="1:6">
      <c r="A157" t="s">
        <v>128</v>
      </c>
    </row>
    <row r="159" spans="1:6">
      <c r="A159" s="40">
        <f>IF(投资收益表!J16&gt;投资收益表!K16,投资收益表!J16,投资收益表!K16)</f>
        <v>0.95984720748620489</v>
      </c>
      <c r="B159" s="40">
        <f>IF(投资收益表!J16&gt;投资收益表!K16,0.34,-0.34)</f>
        <v>0.34</v>
      </c>
      <c r="C159" s="40">
        <f>IF(投资收益表!J16&gt;投资收益表!K16,投资收益表!J16-投资收益表!K16,NA())</f>
        <v>0.45984720748620489</v>
      </c>
      <c r="D159" s="40" t="e">
        <f>IF(投资收益表!K16&gt;投资收益表!J16,投资收益表!J16-投资收益表!K16,NA())</f>
        <v>#N/A</v>
      </c>
      <c r="E159" s="39">
        <f>IF(投资收益表!K16=0,"",(投资收益表!J16-投资收益表!K16)/投资收益表!K16)</f>
        <v>0.91969441497240978</v>
      </c>
    </row>
    <row r="160" spans="1:6">
      <c r="A160" s="40">
        <f>IF(投资收益表!J17&gt;投资收益表!K17,投资收益表!J17,投资收益表!K17)</f>
        <v>0.15</v>
      </c>
      <c r="B160" s="40">
        <f>IF(投资收益表!J17&gt;投资收益表!K17,0.34,-0.34)</f>
        <v>-0.34</v>
      </c>
      <c r="C160" s="40" t="e">
        <f>IF(投资收益表!J17&gt;投资收益表!K17,投资收益表!J17-投资收益表!K17,NA())</f>
        <v>#N/A</v>
      </c>
      <c r="D160" s="40">
        <f>IF(投资收益表!K17&gt;投资收益表!J17,投资收益表!J17-投资收益表!K17,NA())</f>
        <v>-0.15</v>
      </c>
      <c r="E160" s="39">
        <f>IF(投资收益表!K17=0,"",(投资收益表!J17-投资收益表!K17)/投资收益表!K17)</f>
        <v>-1</v>
      </c>
    </row>
    <row r="161" spans="1:5">
      <c r="A161" s="40">
        <f>IF(投资收益表!J18&gt;投资收益表!K18,投资收益表!J18,投资收益表!K18)</f>
        <v>0.15</v>
      </c>
      <c r="B161" s="40">
        <f>IF(投资收益表!J18&gt;投资收益表!K18,0.34,-0.34)</f>
        <v>-0.34</v>
      </c>
      <c r="C161" s="40" t="e">
        <f>IF(投资收益表!J18&gt;投资收益表!K18,投资收益表!J18-投资收益表!K18,NA())</f>
        <v>#N/A</v>
      </c>
      <c r="D161" s="40">
        <f>IF(投资收益表!K18&gt;投资收益表!J18,投资收益表!J18-投资收益表!K18,NA())</f>
        <v>-0.14696285308333473</v>
      </c>
      <c r="E161" s="39">
        <f>IF(投资收益表!K18=0,"",(投资收益表!J18-投资收益表!K18)/投资收益表!K18)</f>
        <v>-0.97975235388889825</v>
      </c>
    </row>
    <row r="162" spans="1:5">
      <c r="A162" s="40">
        <f>IF(投资收益表!J19&gt;投资收益表!K19,投资收益表!J19,投资收益表!K19)</f>
        <v>0.15</v>
      </c>
      <c r="B162" s="40">
        <f>IF(投资收益表!J19&gt;投资收益表!K19,0.34,-0.34)</f>
        <v>-0.34</v>
      </c>
      <c r="C162" s="40" t="e">
        <f>IF(投资收益表!J19&gt;投资收益表!K19,投资收益表!J19-投资收益表!K19,NA())</f>
        <v>#N/A</v>
      </c>
      <c r="D162" s="40">
        <f>IF(投资收益表!K19&gt;投资收益表!J19,投资收益表!J19-投资收益表!K19,NA())</f>
        <v>-0.11434994489030005</v>
      </c>
      <c r="E162" s="39">
        <f>IF(投资收益表!K19=0,"",(投资收益表!J19-投资收益表!K19)/投资收益表!K19)</f>
        <v>-0.76233296593533373</v>
      </c>
    </row>
    <row r="163" spans="1:5">
      <c r="A163" s="40">
        <f>IF(投资收益表!J20&gt;投资收益表!K20,投资收益表!J20,投资收益表!K20)</f>
        <v>0.05</v>
      </c>
      <c r="B163" s="40">
        <f>IF(投资收益表!J20&gt;投资收益表!K20,0.34,-0.34)</f>
        <v>-0.34</v>
      </c>
      <c r="C163" s="40" t="e">
        <f>IF(投资收益表!J20&gt;投资收益表!K20,投资收益表!J20-投资收益表!K20,NA())</f>
        <v>#N/A</v>
      </c>
      <c r="D163" s="40">
        <f>IF(投资收益表!K20&gt;投资收益表!J20,投资收益表!J20-投资收益表!K20,NA())</f>
        <v>-4.8534409512570008E-2</v>
      </c>
      <c r="E163" s="39">
        <f>IF(投资收益表!K20=0,"",(投资收益表!J20-投资收益表!K20)/投资收益表!K20)</f>
        <v>-0.97068819025140007</v>
      </c>
    </row>
    <row r="164" spans="1:5">
      <c r="A164" s="40">
        <f>IF(投资收益表!J21&gt;投资收益表!K21,投资收益表!J21,投资收益表!K21)</f>
        <v>0</v>
      </c>
      <c r="B164" s="40">
        <f>IF(投资收益表!J21&gt;投资收益表!K21,0.34,-0.34)</f>
        <v>-0.34</v>
      </c>
      <c r="C164" s="40" t="e">
        <f>IF(投资收益表!J21&gt;投资收益表!K21,投资收益表!J21-投资收益表!K21,NA())</f>
        <v>#N/A</v>
      </c>
      <c r="D164" s="40" t="e">
        <f>IF(投资收益表!K21&gt;投资收益表!J21,投资收益表!J21-投资收益表!K21,NA())</f>
        <v>#N/A</v>
      </c>
      <c r="E164" s="39" t="str">
        <f>IF(投资收益表!K21=0,"",(投资收益表!J21-投资收益表!K21)/投资收益表!K21)</f>
        <v/>
      </c>
    </row>
    <row r="165" spans="1:5">
      <c r="A165" s="40">
        <f>IF(投资收益表!J22&gt;投资收益表!K22,投资收益表!J22,投资收益表!K22)</f>
        <v>2.0548226688036822E-5</v>
      </c>
      <c r="B165" s="40">
        <f>IF(投资收益表!J22&gt;投资收益表!K22,0.34,-0.34)</f>
        <v>0.34</v>
      </c>
      <c r="C165" s="40">
        <f>IF(投资收益表!J22&gt;投资收益表!K22,投资收益表!J22-投资收益表!K22,NA())</f>
        <v>2.0548226688036822E-5</v>
      </c>
      <c r="D165" s="40" t="e">
        <f>IF(投资收益表!K22&gt;投资收益表!J22,投资收益表!J22-投资收益表!K22,NA())</f>
        <v>#N/A</v>
      </c>
      <c r="E165" s="39" t="str">
        <f>IF(投资收益表!K22=0,"",(投资收益表!J22-投资收益表!K22)/投资收益表!K22)</f>
        <v/>
      </c>
    </row>
    <row r="166" spans="1:5">
      <c r="A166" t="s">
        <v>129</v>
      </c>
    </row>
    <row r="168" spans="1:5">
      <c r="A168">
        <f xml:space="preserve"> IF(投资收益表!J16&lt;投资收益表!K16,投资收益表!J16,投资收益表!K16)</f>
        <v>0.5</v>
      </c>
      <c r="B168">
        <f>IF(投资收益表!J16&gt;=投资收益表!K16,投资收益表!J16-投资收益表!K16,NA())</f>
        <v>0.45984720748620489</v>
      </c>
      <c r="C168" t="e">
        <f>IF(投资收益表!K16&gt;投资收益表!J16,投资收益表!K16-投资收益表!J16,NA())</f>
        <v>#N/A</v>
      </c>
      <c r="D168">
        <v>0</v>
      </c>
      <c r="E168" s="37">
        <f>投资收益表!J16-投资收益表!K16</f>
        <v>0.45984720748620489</v>
      </c>
    </row>
    <row r="169" spans="1:5">
      <c r="A169">
        <f xml:space="preserve"> IF(投资收益表!J17&lt;投资收益表!K17,投资收益表!J17,投资收益表!K17)</f>
        <v>0</v>
      </c>
      <c r="B169" t="e">
        <f>IF(投资收益表!J17&gt;=投资收益表!K17,投资收益表!J17-投资收益表!K17,NA())</f>
        <v>#N/A</v>
      </c>
      <c r="C169">
        <f>IF(投资收益表!K17&gt;投资收益表!J17,投资收益表!K17-投资收益表!J17,NA())</f>
        <v>0.15</v>
      </c>
      <c r="D169">
        <v>0</v>
      </c>
      <c r="E169" s="37">
        <f>投资收益表!J17-投资收益表!K17</f>
        <v>-0.15</v>
      </c>
    </row>
    <row r="170" spans="1:5">
      <c r="A170">
        <f xml:space="preserve"> IF(投资收益表!J18&lt;投资收益表!K18,投资收益表!J18,投资收益表!K18)</f>
        <v>3.0371469166652716E-3</v>
      </c>
      <c r="B170" t="e">
        <f>IF(投资收益表!J18&gt;=投资收益表!K18,投资收益表!J18-投资收益表!K18,NA())</f>
        <v>#N/A</v>
      </c>
      <c r="C170">
        <f>IF(投资收益表!K18&gt;投资收益表!J18,投资收益表!K18-投资收益表!J18,NA())</f>
        <v>0.14696285308333473</v>
      </c>
      <c r="D170">
        <v>0</v>
      </c>
      <c r="E170" s="37">
        <f>投资收益表!J18-投资收益表!K18</f>
        <v>-0.14696285308333473</v>
      </c>
    </row>
    <row r="171" spans="1:5">
      <c r="A171">
        <f xml:space="preserve"> IF(投资收益表!J19&lt;投资收益表!K19,投资收益表!J19,投资收益表!K19)</f>
        <v>3.5650055109699944E-2</v>
      </c>
      <c r="B171" t="e">
        <f>IF(投资收益表!J19&gt;=投资收益表!K19,投资收益表!J19-投资收益表!K19,NA())</f>
        <v>#N/A</v>
      </c>
      <c r="C171">
        <f>IF(投资收益表!K19&gt;投资收益表!J19,投资收益表!K19-投资收益表!J19,NA())</f>
        <v>0.11434994489030005</v>
      </c>
      <c r="D171">
        <v>0</v>
      </c>
      <c r="E171" s="37">
        <f>投资收益表!J19-投资收益表!K19</f>
        <v>-0.11434994489030005</v>
      </c>
    </row>
    <row r="172" spans="1:5">
      <c r="A172">
        <f xml:space="preserve"> IF(投资收益表!J20&lt;投资收益表!K20,投资收益表!J20,投资收益表!K20)</f>
        <v>1.4655904874299941E-3</v>
      </c>
      <c r="B172" t="e">
        <f>IF(投资收益表!J20&gt;=投资收益表!K20,投资收益表!J20-投资收益表!K20,NA())</f>
        <v>#N/A</v>
      </c>
      <c r="C172">
        <f>IF(投资收益表!K20&gt;投资收益表!J20,投资收益表!K20-投资收益表!J20,NA())</f>
        <v>4.8534409512570008E-2</v>
      </c>
      <c r="D172">
        <v>0</v>
      </c>
      <c r="E172" s="37">
        <f>投资收益表!J20-投资收益表!K20</f>
        <v>-4.8534409512570008E-2</v>
      </c>
    </row>
    <row r="173" spans="1:5">
      <c r="A173">
        <f xml:space="preserve"> IF(投资收益表!J21&lt;投资收益表!K21,投资收益表!J21,投资收益表!K21)</f>
        <v>0</v>
      </c>
      <c r="B173">
        <f>IF(投资收益表!J21&gt;=投资收益表!K21,投资收益表!J21-投资收益表!K21,NA())</f>
        <v>0</v>
      </c>
      <c r="C173" t="e">
        <f>IF(投资收益表!K21&gt;投资收益表!J21,投资收益表!K21-投资收益表!J21,NA())</f>
        <v>#N/A</v>
      </c>
      <c r="D173">
        <v>0</v>
      </c>
      <c r="E173" s="37">
        <f>投资收益表!J21-投资收益表!K21</f>
        <v>0</v>
      </c>
    </row>
    <row r="174" spans="1:5">
      <c r="A174">
        <f xml:space="preserve"> IF(投资收益表!J22&lt;投资收益表!K22,投资收益表!J22,投资收益表!K22)</f>
        <v>0</v>
      </c>
      <c r="B174">
        <f>IF(投资收益表!J22&gt;=投资收益表!K22,投资收益表!J22-投资收益表!K22,NA())</f>
        <v>2.0548226688036822E-5</v>
      </c>
      <c r="C174" t="e">
        <f>IF(投资收益表!K22&gt;投资收益表!J22,投资收益表!K22-投资收益表!J22,NA())</f>
        <v>#N/A</v>
      </c>
      <c r="D174">
        <v>0</v>
      </c>
      <c r="E174" s="37">
        <f>投资收益表!J22-投资收益表!K22</f>
        <v>2.0548226688036822E-5</v>
      </c>
    </row>
  </sheetData>
  <sortState xmlns:xlrd2="http://schemas.microsoft.com/office/spreadsheetml/2017/richdata2" ref="A28:B30">
    <sortCondition ref="B28:B30"/>
  </sortState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AB956829-56D9-4D6F-8EA6-2CBA473C68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TM02802334</Template>
  <Application>Excel Android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62</vt:i4>
      </vt:variant>
    </vt:vector>
  </HeadingPairs>
  <TitlesOfParts>
    <vt:vector size="78" baseType="lpstr">
      <vt:lpstr>总资产摘要</vt:lpstr>
      <vt:lpstr>投资收益表</vt:lpstr>
      <vt:lpstr>1 月</vt:lpstr>
      <vt:lpstr>2 月</vt:lpstr>
      <vt:lpstr>3 月</vt:lpstr>
      <vt:lpstr>4 月</vt:lpstr>
      <vt:lpstr>5 月</vt:lpstr>
      <vt:lpstr>6 月</vt:lpstr>
      <vt:lpstr>7 月</vt:lpstr>
      <vt:lpstr>8 月</vt:lpstr>
      <vt:lpstr>9月</vt:lpstr>
      <vt:lpstr>10月</vt:lpstr>
      <vt:lpstr>11 月</vt:lpstr>
      <vt:lpstr>12 月</vt:lpstr>
      <vt:lpstr>提示</vt:lpstr>
      <vt:lpstr>Kutools_Chart</vt:lpstr>
      <vt:lpstr>10月!ColumnTitle10</vt:lpstr>
      <vt:lpstr>9月!ColumnTitle10</vt:lpstr>
      <vt:lpstr>投资收益表!ColumnTitle10</vt:lpstr>
      <vt:lpstr>ColumnTitle10</vt:lpstr>
      <vt:lpstr>10月!ColumnTitle13</vt:lpstr>
      <vt:lpstr>9月!ColumnTitle13</vt:lpstr>
      <vt:lpstr>投资收益表!ColumnTitle13</vt:lpstr>
      <vt:lpstr>ColumnTitle13</vt:lpstr>
      <vt:lpstr>10月!ColumnTitle14</vt:lpstr>
      <vt:lpstr>9月!ColumnTitle14</vt:lpstr>
      <vt:lpstr>投资收益表!ColumnTitle14</vt:lpstr>
      <vt:lpstr>ColumnTitle14</vt:lpstr>
      <vt:lpstr>10月!ColumnTitle2</vt:lpstr>
      <vt:lpstr>9月!ColumnTitle2</vt:lpstr>
      <vt:lpstr>投资收益表!ColumnTitle2</vt:lpstr>
      <vt:lpstr>ColumnTitle2</vt:lpstr>
      <vt:lpstr>10月!ColumnTitle3</vt:lpstr>
      <vt:lpstr>9月!ColumnTitle3</vt:lpstr>
      <vt:lpstr>投资收益表!ColumnTitle3</vt:lpstr>
      <vt:lpstr>ColumnTitle3</vt:lpstr>
      <vt:lpstr>10月!ColumnTitle4</vt:lpstr>
      <vt:lpstr>9月!ColumnTitle4</vt:lpstr>
      <vt:lpstr>投资收益表!ColumnTitle4</vt:lpstr>
      <vt:lpstr>ColumnTitle4</vt:lpstr>
      <vt:lpstr>10月!ColumnTitle5</vt:lpstr>
      <vt:lpstr>9月!ColumnTitle5</vt:lpstr>
      <vt:lpstr>投资收益表!ColumnTitle5</vt:lpstr>
      <vt:lpstr>ColumnTitle5</vt:lpstr>
      <vt:lpstr>10月!ColumnTitle6</vt:lpstr>
      <vt:lpstr>9月!ColumnTitle6</vt:lpstr>
      <vt:lpstr>投资收益表!ColumnTitle6</vt:lpstr>
      <vt:lpstr>ColumnTitle6</vt:lpstr>
      <vt:lpstr>10月!ColumnTitle7</vt:lpstr>
      <vt:lpstr>9月!ColumnTitle7</vt:lpstr>
      <vt:lpstr>投资收益表!ColumnTitle7</vt:lpstr>
      <vt:lpstr>ColumnTitle7</vt:lpstr>
      <vt:lpstr>10月!ColumnTitle8</vt:lpstr>
      <vt:lpstr>9月!ColumnTitle8</vt:lpstr>
      <vt:lpstr>投资收益表!ColumnTitle8</vt:lpstr>
      <vt:lpstr>ColumnTitle8</vt:lpstr>
      <vt:lpstr>10月!ColumnTitle9</vt:lpstr>
      <vt:lpstr>9月!ColumnTitle9</vt:lpstr>
      <vt:lpstr>投资收益表!ColumnTitle9</vt:lpstr>
      <vt:lpstr>ColumnTitle9</vt:lpstr>
      <vt:lpstr>10月!ExpenseCategories</vt:lpstr>
      <vt:lpstr>9月!ExpenseCategories</vt:lpstr>
      <vt:lpstr>投资收益表!ExpenseCategories</vt:lpstr>
      <vt:lpstr>ExpenseCategories</vt:lpstr>
      <vt:lpstr>1 月!Print_Titles</vt:lpstr>
      <vt:lpstr>10月!Print_Titles</vt:lpstr>
      <vt:lpstr>11 月!Print_Titles</vt:lpstr>
      <vt:lpstr>12 月!Print_Titles</vt:lpstr>
      <vt:lpstr>2 月!Print_Titles</vt:lpstr>
      <vt:lpstr>3 月!Print_Titles</vt:lpstr>
      <vt:lpstr>4 月!Print_Titles</vt:lpstr>
      <vt:lpstr>5 月!Print_Titles</vt:lpstr>
      <vt:lpstr>6 月!Print_Titles</vt:lpstr>
      <vt:lpstr>7 月!Print_Titles</vt:lpstr>
      <vt:lpstr>8 月!Print_Titles</vt:lpstr>
      <vt:lpstr>9月!Print_Titles</vt:lpstr>
      <vt:lpstr>投资收益表!Print_Titles</vt:lpstr>
      <vt:lpstr>总资产摘要!Print_Titles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Ricky Zhang</dc:creator>
  <cp:lastModifiedBy>Ricky Zhang</cp:lastModifiedBy>
  <cp:lastPrinted>2025-12-13T16:30:23Z</cp:lastPrinted>
  <dcterms:created xsi:type="dcterms:W3CDTF">2016-09-19T01:00:44Z</dcterms:created>
  <dcterms:modified xsi:type="dcterms:W3CDTF">2026-05-15T15:36:18Z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95FAF371-FE8A-4BE2-9473-13C9E264BB1F</vt:lpwstr>
  </property>
</Properties>
</file>

<file path=userCustomization/customUI.xml><?xml version="1.0" encoding="utf-8"?>
<mso:customUI xmlns:mso="http://schemas.microsoft.com/office/2006/01/customui">
  <mso:ribbon>
    <mso:qat>
      <mso:documentControls>
        <mso:control idQ="mso:AutoSaveSwitch" visible="true"/>
      </mso:documentControls>
    </mso:qat>
  </mso:ribbon>
</mso:customUI>
</file>